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hung\Downloads\"/>
    </mc:Choice>
  </mc:AlternateContent>
  <xr:revisionPtr revIDLastSave="0" documentId="13_ncr:1_{01506C82-0C9A-482D-8669-0DB9A72236BE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Supuestos" sheetId="1" r:id="rId1"/>
    <sheet name="Amortización" sheetId="5" r:id="rId2"/>
    <sheet name="A.3 Conversión" sheetId="6" r:id="rId3"/>
    <sheet name="B Supuestos" sheetId="7" r:id="rId4"/>
    <sheet name="B.1 Forward" sheetId="8" r:id="rId5"/>
    <sheet name="B.2 Escenarios" sheetId="9" r:id="rId6"/>
    <sheet name="B.3 Flujo consolidado" sheetId="10" r:id="rId7"/>
    <sheet name="B.3 Evaluación" sheetId="11" r:id="rId8"/>
    <sheet name="Trayectorias TRM" sheetId="12" r:id="rId9"/>
    <sheet name="Trayectorias B" sheetId="13" r:id="rId10"/>
    <sheet name="Flujos escenarios B" sheetId="14" r:id="rId11"/>
    <sheet name="Ventanas históricas" sheetId="15" r:id="rId12"/>
    <sheet name="Históricos TRM" sheetId="16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7" l="1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D10" i="15"/>
  <c r="C10" i="15"/>
  <c r="E10" i="15" s="1"/>
  <c r="F10" i="15" s="1"/>
  <c r="D9" i="15"/>
  <c r="C9" i="15"/>
  <c r="E9" i="15" s="1"/>
  <c r="F9" i="15" s="1"/>
  <c r="D8" i="15"/>
  <c r="C8" i="15"/>
  <c r="E8" i="15" s="1"/>
  <c r="F8" i="15" s="1"/>
  <c r="D7" i="15"/>
  <c r="C7" i="15"/>
  <c r="E7" i="15" s="1"/>
  <c r="F7" i="15" s="1"/>
  <c r="D6" i="15"/>
  <c r="C6" i="15"/>
  <c r="E6" i="15" s="1"/>
  <c r="F6" i="15" s="1"/>
  <c r="D5" i="15"/>
  <c r="C5" i="15"/>
  <c r="E5" i="15" s="1"/>
  <c r="F5" i="15" s="1"/>
  <c r="I45" i="13"/>
  <c r="B45" i="13"/>
  <c r="I44" i="13"/>
  <c r="B44" i="13"/>
  <c r="I43" i="13"/>
  <c r="B43" i="13"/>
  <c r="I42" i="13"/>
  <c r="B42" i="13"/>
  <c r="I41" i="13"/>
  <c r="B41" i="13"/>
  <c r="I40" i="13"/>
  <c r="B40" i="13"/>
  <c r="I39" i="13"/>
  <c r="B39" i="13"/>
  <c r="I38" i="13"/>
  <c r="B38" i="13"/>
  <c r="I37" i="13"/>
  <c r="B37" i="13"/>
  <c r="I36" i="13"/>
  <c r="B36" i="13"/>
  <c r="I35" i="13"/>
  <c r="B35" i="13"/>
  <c r="I34" i="13"/>
  <c r="B34" i="13"/>
  <c r="I33" i="13"/>
  <c r="B33" i="13"/>
  <c r="I32" i="13"/>
  <c r="B32" i="13"/>
  <c r="I31" i="13"/>
  <c r="B31" i="13"/>
  <c r="I30" i="13"/>
  <c r="B30" i="13"/>
  <c r="I29" i="13"/>
  <c r="B29" i="13"/>
  <c r="I28" i="13"/>
  <c r="B28" i="13"/>
  <c r="I27" i="13"/>
  <c r="B27" i="13"/>
  <c r="I26" i="13"/>
  <c r="B26" i="13"/>
  <c r="I25" i="13"/>
  <c r="B25" i="13"/>
  <c r="I24" i="13"/>
  <c r="B24" i="13"/>
  <c r="I23" i="13"/>
  <c r="B23" i="13"/>
  <c r="I22" i="13"/>
  <c r="B22" i="13"/>
  <c r="I21" i="13"/>
  <c r="B21" i="13"/>
  <c r="I20" i="13"/>
  <c r="B20" i="13"/>
  <c r="I19" i="13"/>
  <c r="B19" i="13"/>
  <c r="I18" i="13"/>
  <c r="B18" i="13"/>
  <c r="I17" i="13"/>
  <c r="B17" i="13"/>
  <c r="I16" i="13"/>
  <c r="B16" i="13"/>
  <c r="I15" i="13"/>
  <c r="B15" i="13"/>
  <c r="I14" i="13"/>
  <c r="B14" i="13"/>
  <c r="I13" i="13"/>
  <c r="B13" i="13"/>
  <c r="I12" i="13"/>
  <c r="B12" i="13"/>
  <c r="I11" i="13"/>
  <c r="B11" i="13"/>
  <c r="I10" i="13"/>
  <c r="B10" i="13"/>
  <c r="I9" i="13"/>
  <c r="B9" i="13"/>
  <c r="I8" i="13"/>
  <c r="B8" i="13"/>
  <c r="I7" i="13"/>
  <c r="B7" i="13"/>
  <c r="I6" i="13"/>
  <c r="B6" i="13"/>
  <c r="I5" i="13"/>
  <c r="B5" i="13"/>
  <c r="C45" i="12"/>
  <c r="C44" i="12"/>
  <c r="B63" i="6" s="1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69" i="10"/>
  <c r="D69" i="10" s="1"/>
  <c r="B69" i="10"/>
  <c r="C68" i="10"/>
  <c r="D68" i="10" s="1"/>
  <c r="B68" i="10"/>
  <c r="C67" i="10"/>
  <c r="D67" i="10" s="1"/>
  <c r="B67" i="10"/>
  <c r="C66" i="10"/>
  <c r="D66" i="10" s="1"/>
  <c r="B66" i="10"/>
  <c r="C65" i="10"/>
  <c r="D65" i="10" s="1"/>
  <c r="B65" i="10"/>
  <c r="C64" i="10"/>
  <c r="D64" i="10" s="1"/>
  <c r="B64" i="10"/>
  <c r="C63" i="10"/>
  <c r="D63" i="10" s="1"/>
  <c r="B63" i="10"/>
  <c r="D49" i="10"/>
  <c r="C49" i="10"/>
  <c r="F48" i="10"/>
  <c r="G48" i="10" s="1"/>
  <c r="B48" i="10"/>
  <c r="F47" i="10"/>
  <c r="G47" i="10" s="1"/>
  <c r="B47" i="10"/>
  <c r="F46" i="10"/>
  <c r="G46" i="10" s="1"/>
  <c r="B46" i="10"/>
  <c r="F45" i="10"/>
  <c r="G45" i="10" s="1"/>
  <c r="B45" i="10"/>
  <c r="F44" i="10"/>
  <c r="G44" i="10" s="1"/>
  <c r="B44" i="10"/>
  <c r="F43" i="10"/>
  <c r="G43" i="10" s="1"/>
  <c r="B43" i="10"/>
  <c r="F42" i="10"/>
  <c r="G42" i="10" s="1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D8" i="10"/>
  <c r="C8" i="10"/>
  <c r="B8" i="10"/>
  <c r="B5" i="10"/>
  <c r="D32" i="9"/>
  <c r="D28" i="9"/>
  <c r="D27" i="9"/>
  <c r="B35" i="8"/>
  <c r="B36" i="8" s="1"/>
  <c r="E33" i="8"/>
  <c r="C33" i="8"/>
  <c r="B33" i="8"/>
  <c r="D33" i="8" s="1"/>
  <c r="E32" i="8"/>
  <c r="C32" i="8"/>
  <c r="D32" i="8" s="1"/>
  <c r="B32" i="8"/>
  <c r="E31" i="8"/>
  <c r="C31" i="8"/>
  <c r="B31" i="8"/>
  <c r="D31" i="8" s="1"/>
  <c r="E30" i="8"/>
  <c r="C30" i="8"/>
  <c r="B30" i="8"/>
  <c r="D30" i="8" s="1"/>
  <c r="E29" i="8"/>
  <c r="C29" i="8"/>
  <c r="B29" i="8"/>
  <c r="D29" i="8" s="1"/>
  <c r="C16" i="8"/>
  <c r="C15" i="8"/>
  <c r="C14" i="8"/>
  <c r="C23" i="7"/>
  <c r="C22" i="7"/>
  <c r="C21" i="7"/>
  <c r="C20" i="7"/>
  <c r="B14" i="7"/>
  <c r="B11" i="7"/>
  <c r="B10" i="7"/>
  <c r="B7" i="7"/>
  <c r="I63" i="6"/>
  <c r="H63" i="6"/>
  <c r="G63" i="6"/>
  <c r="F63" i="6"/>
  <c r="E63" i="6"/>
  <c r="D63" i="6"/>
  <c r="C63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3" i="6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8" i="6" s="1"/>
  <c r="B14" i="5"/>
  <c r="B17" i="6" s="1"/>
  <c r="B13" i="5"/>
  <c r="B16" i="6" s="1"/>
  <c r="B12" i="5"/>
  <c r="B15" i="6" s="1"/>
  <c r="B11" i="5"/>
  <c r="B14" i="6" s="1"/>
  <c r="B10" i="5"/>
  <c r="B13" i="6" s="1"/>
  <c r="B9" i="5"/>
  <c r="B12" i="6" s="1"/>
  <c r="B8" i="5"/>
  <c r="B11" i="6" s="1"/>
  <c r="B7" i="5"/>
  <c r="B10" i="6" s="1"/>
  <c r="B6" i="5"/>
  <c r="B9" i="6" s="1"/>
  <c r="B5" i="5"/>
  <c r="B8" i="6" s="1"/>
  <c r="B15" i="1"/>
  <c r="B12" i="1"/>
  <c r="B6" i="1"/>
  <c r="B7" i="1" s="1"/>
  <c r="F23" i="10" l="1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33" i="10"/>
  <c r="G33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I8" i="10" s="1"/>
  <c r="F41" i="10"/>
  <c r="G41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2" i="10"/>
  <c r="G32" i="10" s="1"/>
  <c r="F31" i="10"/>
  <c r="G31" i="10" s="1"/>
  <c r="F30" i="10"/>
  <c r="G30" i="10" s="1"/>
  <c r="F29" i="10"/>
  <c r="G29" i="10" s="1"/>
  <c r="F15" i="10"/>
  <c r="G15" i="10" s="1"/>
  <c r="F28" i="10"/>
  <c r="G28" i="10" s="1"/>
  <c r="F27" i="10"/>
  <c r="G27" i="10" s="1"/>
  <c r="F26" i="10"/>
  <c r="G26" i="10" s="1"/>
  <c r="F25" i="10"/>
  <c r="G25" i="10" s="1"/>
  <c r="F24" i="10"/>
  <c r="G24" i="10" s="1"/>
  <c r="G33" i="8"/>
  <c r="F33" i="8"/>
  <c r="F32" i="8"/>
  <c r="G32" i="8"/>
  <c r="F31" i="8"/>
  <c r="G31" i="8"/>
  <c r="G30" i="8"/>
  <c r="F30" i="8"/>
  <c r="F29" i="8"/>
  <c r="G29" i="8"/>
  <c r="E16" i="8"/>
  <c r="F16" i="8" s="1"/>
  <c r="D16" i="8"/>
  <c r="E15" i="8"/>
  <c r="F15" i="8" s="1"/>
  <c r="D15" i="8"/>
  <c r="E14" i="8"/>
  <c r="F14" i="8" s="1"/>
  <c r="D14" i="8"/>
  <c r="D20" i="9"/>
  <c r="E20" i="9" s="1"/>
  <c r="D8" i="9"/>
  <c r="E8" i="9" s="1"/>
  <c r="D23" i="7"/>
  <c r="D16" i="9"/>
  <c r="E16" i="9" s="1"/>
  <c r="D12" i="9"/>
  <c r="E12" i="9" s="1"/>
  <c r="D24" i="9"/>
  <c r="E24" i="9" s="1"/>
  <c r="D7" i="9"/>
  <c r="E7" i="9" s="1"/>
  <c r="D11" i="9"/>
  <c r="E11" i="9" s="1"/>
  <c r="D15" i="9"/>
  <c r="E15" i="9" s="1"/>
  <c r="D19" i="9"/>
  <c r="E19" i="9" s="1"/>
  <c r="D23" i="9"/>
  <c r="E23" i="9" s="1"/>
  <c r="D22" i="7"/>
  <c r="D31" i="9"/>
  <c r="E31" i="9" s="1"/>
  <c r="D18" i="9"/>
  <c r="E18" i="9" s="1"/>
  <c r="D6" i="9"/>
  <c r="E6" i="9" s="1"/>
  <c r="D22" i="9"/>
  <c r="E22" i="9" s="1"/>
  <c r="D14" i="9"/>
  <c r="E14" i="9" s="1"/>
  <c r="D10" i="9"/>
  <c r="E10" i="9" s="1"/>
  <c r="D26" i="9"/>
  <c r="E26" i="9" s="1"/>
  <c r="D30" i="9"/>
  <c r="E30" i="9" s="1"/>
  <c r="D21" i="7"/>
  <c r="D9" i="9"/>
  <c r="E9" i="9" s="1"/>
  <c r="D20" i="7"/>
  <c r="D5" i="9"/>
  <c r="E5" i="9" s="1"/>
  <c r="D25" i="9"/>
  <c r="E25" i="9" s="1"/>
  <c r="D21" i="9"/>
  <c r="E21" i="9" s="1"/>
  <c r="D29" i="9"/>
  <c r="E29" i="9" s="1"/>
  <c r="D13" i="9"/>
  <c r="E13" i="9" s="1"/>
  <c r="D17" i="9"/>
  <c r="E17" i="9" s="1"/>
  <c r="B16" i="1"/>
  <c r="B9" i="1"/>
  <c r="B5" i="6"/>
  <c r="C5" i="14"/>
  <c r="E5" i="14"/>
  <c r="G5" i="14"/>
  <c r="I5" i="14"/>
  <c r="K5" i="14"/>
  <c r="L5" i="14"/>
  <c r="O5" i="14"/>
  <c r="B5" i="14"/>
  <c r="D5" i="14"/>
  <c r="F5" i="14"/>
  <c r="H5" i="14"/>
  <c r="J5" i="14"/>
  <c r="M5" i="14"/>
  <c r="N5" i="14"/>
  <c r="E32" i="9"/>
  <c r="E28" i="9"/>
  <c r="E27" i="9"/>
  <c r="G5" i="15"/>
  <c r="G10" i="15"/>
  <c r="G8" i="15"/>
  <c r="G7" i="15"/>
  <c r="G6" i="15"/>
  <c r="G9" i="15"/>
  <c r="F8" i="9" l="1"/>
  <c r="G8" i="9" s="1"/>
  <c r="H8" i="9" s="1"/>
  <c r="F12" i="9"/>
  <c r="G12" i="9" s="1"/>
  <c r="H12" i="9" s="1"/>
  <c r="F16" i="9"/>
  <c r="G16" i="9" s="1"/>
  <c r="H16" i="9" s="1"/>
  <c r="F20" i="9"/>
  <c r="G20" i="9" s="1"/>
  <c r="H20" i="9" s="1"/>
  <c r="F24" i="9"/>
  <c r="G24" i="9" s="1"/>
  <c r="H24" i="9" s="1"/>
  <c r="F28" i="9"/>
  <c r="G28" i="9" s="1"/>
  <c r="H28" i="9" s="1"/>
  <c r="F32" i="9"/>
  <c r="G32" i="9" s="1"/>
  <c r="H32" i="9" s="1"/>
  <c r="F7" i="9"/>
  <c r="G7" i="9" s="1"/>
  <c r="H7" i="9" s="1"/>
  <c r="F11" i="9"/>
  <c r="G11" i="9" s="1"/>
  <c r="H11" i="9" s="1"/>
  <c r="F15" i="9"/>
  <c r="G15" i="9" s="1"/>
  <c r="H15" i="9" s="1"/>
  <c r="F19" i="9"/>
  <c r="G19" i="9" s="1"/>
  <c r="H19" i="9" s="1"/>
  <c r="F23" i="9"/>
  <c r="G23" i="9" s="1"/>
  <c r="H23" i="9" s="1"/>
  <c r="F27" i="9"/>
  <c r="G27" i="9" s="1"/>
  <c r="H27" i="9" s="1"/>
  <c r="F31" i="9"/>
  <c r="G31" i="9" s="1"/>
  <c r="H31" i="9" s="1"/>
  <c r="F6" i="9"/>
  <c r="G6" i="9" s="1"/>
  <c r="H6" i="9" s="1"/>
  <c r="F10" i="9"/>
  <c r="G10" i="9" s="1"/>
  <c r="H10" i="9" s="1"/>
  <c r="F14" i="9"/>
  <c r="G14" i="9" s="1"/>
  <c r="H14" i="9" s="1"/>
  <c r="F18" i="9"/>
  <c r="G18" i="9" s="1"/>
  <c r="H18" i="9" s="1"/>
  <c r="F22" i="9"/>
  <c r="G22" i="9" s="1"/>
  <c r="H22" i="9" s="1"/>
  <c r="F26" i="9"/>
  <c r="G26" i="9" s="1"/>
  <c r="H26" i="9" s="1"/>
  <c r="F30" i="9"/>
  <c r="G30" i="9" s="1"/>
  <c r="H30" i="9" s="1"/>
  <c r="F5" i="9"/>
  <c r="G5" i="9" s="1"/>
  <c r="H5" i="9" s="1"/>
  <c r="F9" i="9"/>
  <c r="G9" i="9" s="1"/>
  <c r="H9" i="9" s="1"/>
  <c r="F13" i="9"/>
  <c r="G13" i="9" s="1"/>
  <c r="H13" i="9" s="1"/>
  <c r="F17" i="9"/>
  <c r="G17" i="9" s="1"/>
  <c r="H17" i="9" s="1"/>
  <c r="F21" i="9"/>
  <c r="G21" i="9" s="1"/>
  <c r="H21" i="9" s="1"/>
  <c r="F25" i="9"/>
  <c r="G25" i="9" s="1"/>
  <c r="H25" i="9" s="1"/>
  <c r="F29" i="9"/>
  <c r="G29" i="9" s="1"/>
  <c r="H29" i="9" s="1"/>
  <c r="J21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6" i="10"/>
  <c r="J47" i="10"/>
  <c r="J42" i="10"/>
  <c r="J48" i="10"/>
  <c r="J43" i="10"/>
  <c r="J44" i="10"/>
  <c r="J45" i="10"/>
  <c r="B17" i="1"/>
  <c r="B18" i="1"/>
  <c r="E8" i="10"/>
  <c r="C5" i="5"/>
  <c r="B68" i="6"/>
  <c r="C68" i="6"/>
  <c r="D68" i="6"/>
  <c r="E68" i="6"/>
  <c r="F68" i="6"/>
  <c r="G68" i="6"/>
  <c r="H68" i="6"/>
  <c r="I68" i="6"/>
  <c r="K21" i="10" l="1"/>
  <c r="L21" i="10"/>
  <c r="M21" i="10"/>
  <c r="N21" i="10"/>
  <c r="K8" i="10"/>
  <c r="L8" i="10"/>
  <c r="M8" i="10"/>
  <c r="N8" i="10"/>
  <c r="K9" i="10"/>
  <c r="L9" i="10"/>
  <c r="M9" i="10"/>
  <c r="N9" i="10"/>
  <c r="K10" i="10"/>
  <c r="L10" i="10"/>
  <c r="M10" i="10"/>
  <c r="N10" i="10"/>
  <c r="K11" i="10"/>
  <c r="L11" i="10"/>
  <c r="M11" i="10"/>
  <c r="N11" i="10"/>
  <c r="K12" i="10"/>
  <c r="L12" i="10"/>
  <c r="M12" i="10"/>
  <c r="N12" i="10"/>
  <c r="K13" i="10"/>
  <c r="L13" i="10"/>
  <c r="M13" i="10"/>
  <c r="N13" i="10"/>
  <c r="K14" i="10"/>
  <c r="L14" i="10"/>
  <c r="M14" i="10"/>
  <c r="N14" i="10"/>
  <c r="K15" i="10"/>
  <c r="L15" i="10"/>
  <c r="M15" i="10"/>
  <c r="N15" i="10"/>
  <c r="K16" i="10"/>
  <c r="L16" i="10"/>
  <c r="M16" i="10"/>
  <c r="N16" i="10"/>
  <c r="K17" i="10"/>
  <c r="L17" i="10"/>
  <c r="M17" i="10"/>
  <c r="N17" i="10"/>
  <c r="K18" i="10"/>
  <c r="L18" i="10"/>
  <c r="M18" i="10"/>
  <c r="N18" i="10"/>
  <c r="K19" i="10"/>
  <c r="L19" i="10"/>
  <c r="M19" i="10"/>
  <c r="N19" i="10"/>
  <c r="K20" i="10"/>
  <c r="L20" i="10"/>
  <c r="M20" i="10"/>
  <c r="N20" i="10"/>
  <c r="K22" i="10"/>
  <c r="L22" i="10"/>
  <c r="M22" i="10"/>
  <c r="N22" i="10"/>
  <c r="K23" i="10"/>
  <c r="L23" i="10"/>
  <c r="M23" i="10"/>
  <c r="N23" i="10"/>
  <c r="K24" i="10"/>
  <c r="L24" i="10"/>
  <c r="M24" i="10"/>
  <c r="N24" i="10"/>
  <c r="K25" i="10"/>
  <c r="L25" i="10"/>
  <c r="M25" i="10"/>
  <c r="N25" i="10"/>
  <c r="K26" i="10"/>
  <c r="L26" i="10"/>
  <c r="M26" i="10"/>
  <c r="N26" i="10"/>
  <c r="K27" i="10"/>
  <c r="L27" i="10"/>
  <c r="M27" i="10"/>
  <c r="N27" i="10"/>
  <c r="K28" i="10"/>
  <c r="L28" i="10"/>
  <c r="M28" i="10"/>
  <c r="N28" i="10"/>
  <c r="K29" i="10"/>
  <c r="L29" i="10"/>
  <c r="M29" i="10"/>
  <c r="N29" i="10"/>
  <c r="K30" i="10"/>
  <c r="L30" i="10"/>
  <c r="M30" i="10"/>
  <c r="N30" i="10"/>
  <c r="K31" i="10"/>
  <c r="L31" i="10"/>
  <c r="M31" i="10"/>
  <c r="N31" i="10"/>
  <c r="K32" i="10"/>
  <c r="L32" i="10"/>
  <c r="M32" i="10"/>
  <c r="N32" i="10"/>
  <c r="K33" i="10"/>
  <c r="L33" i="10"/>
  <c r="M33" i="10"/>
  <c r="N33" i="10"/>
  <c r="K34" i="10"/>
  <c r="L34" i="10"/>
  <c r="M34" i="10"/>
  <c r="N34" i="10"/>
  <c r="K35" i="10"/>
  <c r="L35" i="10"/>
  <c r="M35" i="10"/>
  <c r="N35" i="10"/>
  <c r="K36" i="10"/>
  <c r="L36" i="10" s="1"/>
  <c r="K37" i="10"/>
  <c r="L37" i="10"/>
  <c r="M37" i="10"/>
  <c r="N37" i="10"/>
  <c r="K38" i="10"/>
  <c r="L38" i="10"/>
  <c r="M38" i="10"/>
  <c r="N38" i="10"/>
  <c r="K39" i="10"/>
  <c r="L39" i="10"/>
  <c r="M39" i="10"/>
  <c r="N39" i="10"/>
  <c r="K40" i="10"/>
  <c r="L40" i="10"/>
  <c r="K41" i="10"/>
  <c r="L41" i="10"/>
  <c r="M41" i="10"/>
  <c r="N41" i="10"/>
  <c r="L46" i="10"/>
  <c r="N46" i="10"/>
  <c r="K46" i="10"/>
  <c r="M46" i="10"/>
  <c r="N47" i="10"/>
  <c r="K47" i="10"/>
  <c r="M47" i="10"/>
  <c r="L47" i="10"/>
  <c r="M42" i="10"/>
  <c r="K42" i="10"/>
  <c r="L42" i="10"/>
  <c r="N42" i="10"/>
  <c r="K48" i="10"/>
  <c r="L48" i="10" s="1"/>
  <c r="N43" i="10"/>
  <c r="K43" i="10"/>
  <c r="L43" i="10"/>
  <c r="M43" i="10"/>
  <c r="K44" i="10"/>
  <c r="L44" i="10" s="1"/>
  <c r="K45" i="10"/>
  <c r="M45" i="10"/>
  <c r="L45" i="10"/>
  <c r="N45" i="10"/>
  <c r="B19" i="1"/>
  <c r="B20" i="1" s="1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B4" i="6"/>
  <c r="B6" i="7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G8" i="10"/>
  <c r="E49" i="10"/>
  <c r="E5" i="5"/>
  <c r="C34" i="6" l="1"/>
  <c r="H35" i="10"/>
  <c r="I35" i="10" s="1"/>
  <c r="C35" i="6"/>
  <c r="H36" i="10"/>
  <c r="I36" i="10" s="1"/>
  <c r="H21" i="7"/>
  <c r="C36" i="6"/>
  <c r="E21" i="7"/>
  <c r="F21" i="7" s="1"/>
  <c r="H37" i="10"/>
  <c r="I37" i="10" s="1"/>
  <c r="C37" i="6"/>
  <c r="H38" i="10"/>
  <c r="I38" i="10" s="1"/>
  <c r="H39" i="10"/>
  <c r="I39" i="10" s="1"/>
  <c r="C38" i="6"/>
  <c r="C39" i="6"/>
  <c r="H40" i="10"/>
  <c r="I40" i="10" s="1"/>
  <c r="H22" i="7"/>
  <c r="E22" i="7"/>
  <c r="F22" i="7" s="1"/>
  <c r="C40" i="6"/>
  <c r="H41" i="10"/>
  <c r="I41" i="10" s="1"/>
  <c r="H42" i="10"/>
  <c r="I42" i="10" s="1"/>
  <c r="C41" i="6"/>
  <c r="C42" i="6"/>
  <c r="H43" i="10"/>
  <c r="I43" i="10" s="1"/>
  <c r="C43" i="6"/>
  <c r="H44" i="10"/>
  <c r="I44" i="10" s="1"/>
  <c r="H23" i="7"/>
  <c r="E23" i="7"/>
  <c r="F23" i="7" s="1"/>
  <c r="C44" i="6"/>
  <c r="H45" i="10"/>
  <c r="I45" i="10" s="1"/>
  <c r="C45" i="6"/>
  <c r="H46" i="10"/>
  <c r="I46" i="10" s="1"/>
  <c r="C46" i="6"/>
  <c r="H47" i="10"/>
  <c r="I47" i="10" s="1"/>
  <c r="C47" i="6"/>
  <c r="H48" i="10"/>
  <c r="I48" i="10" s="1"/>
  <c r="B8" i="7"/>
  <c r="B9" i="7" s="1"/>
  <c r="J5" i="9"/>
  <c r="L5" i="9"/>
  <c r="J6" i="9"/>
  <c r="L6" i="9"/>
  <c r="J7" i="9"/>
  <c r="L7" i="9"/>
  <c r="J8" i="9"/>
  <c r="L8" i="9"/>
  <c r="J9" i="9"/>
  <c r="L9" i="9"/>
  <c r="J10" i="9"/>
  <c r="L10" i="9"/>
  <c r="J11" i="9"/>
  <c r="L11" i="9"/>
  <c r="J12" i="9"/>
  <c r="L12" i="9"/>
  <c r="J13" i="9"/>
  <c r="L13" i="9"/>
  <c r="J65" i="10" s="1"/>
  <c r="J14" i="9"/>
  <c r="L14" i="9"/>
  <c r="J15" i="9"/>
  <c r="L15" i="9"/>
  <c r="J16" i="9"/>
  <c r="L16" i="9"/>
  <c r="J17" i="9"/>
  <c r="L17" i="9"/>
  <c r="J66" i="10" s="1"/>
  <c r="J18" i="9"/>
  <c r="L18" i="9"/>
  <c r="J19" i="9"/>
  <c r="L19" i="9"/>
  <c r="J20" i="9"/>
  <c r="L20" i="9"/>
  <c r="J21" i="9"/>
  <c r="L21" i="9"/>
  <c r="J22" i="9"/>
  <c r="L22" i="9"/>
  <c r="J23" i="9"/>
  <c r="L23" i="9"/>
  <c r="J24" i="9"/>
  <c r="L24" i="9"/>
  <c r="J25" i="9"/>
  <c r="L25" i="9"/>
  <c r="J26" i="9"/>
  <c r="L26" i="9"/>
  <c r="J27" i="9"/>
  <c r="L27" i="9"/>
  <c r="J28" i="9"/>
  <c r="L28" i="9"/>
  <c r="J29" i="9"/>
  <c r="L29" i="9"/>
  <c r="J69" i="10" s="1"/>
  <c r="J30" i="9"/>
  <c r="L30" i="9"/>
  <c r="J31" i="9"/>
  <c r="L31" i="9"/>
  <c r="J32" i="9"/>
  <c r="L32" i="9"/>
  <c r="F7" i="14"/>
  <c r="G7" i="14" s="1"/>
  <c r="J7" i="14"/>
  <c r="K7" i="14" s="1"/>
  <c r="N7" i="14"/>
  <c r="O7" i="14" s="1"/>
  <c r="B8" i="14"/>
  <c r="C8" i="14" s="1"/>
  <c r="D8" i="14"/>
  <c r="E8" i="14" s="1"/>
  <c r="F8" i="14"/>
  <c r="G8" i="14" s="1"/>
  <c r="H8" i="14"/>
  <c r="I8" i="14" s="1"/>
  <c r="J8" i="14"/>
  <c r="K8" i="14" s="1"/>
  <c r="L8" i="14"/>
  <c r="M8" i="14" s="1"/>
  <c r="N8" i="14"/>
  <c r="O8" i="14" s="1"/>
  <c r="B9" i="14"/>
  <c r="C9" i="14" s="1"/>
  <c r="D9" i="14"/>
  <c r="E9" i="14" s="1"/>
  <c r="F9" i="14"/>
  <c r="G9" i="14" s="1"/>
  <c r="H9" i="14"/>
  <c r="I9" i="14" s="1"/>
  <c r="J9" i="14"/>
  <c r="K9" i="14" s="1"/>
  <c r="B10" i="14"/>
  <c r="C10" i="14" s="1"/>
  <c r="F10" i="14"/>
  <c r="G10" i="14" s="1"/>
  <c r="H10" i="14"/>
  <c r="I10" i="14" s="1"/>
  <c r="J10" i="14"/>
  <c r="K10" i="14" s="1"/>
  <c r="L10" i="14"/>
  <c r="M10" i="14" s="1"/>
  <c r="D11" i="14"/>
  <c r="E11" i="14" s="1"/>
  <c r="F11" i="14"/>
  <c r="G11" i="14" s="1"/>
  <c r="H11" i="14"/>
  <c r="I11" i="14" s="1"/>
  <c r="D12" i="14"/>
  <c r="E12" i="14" s="1"/>
  <c r="F12" i="14"/>
  <c r="G12" i="14" s="1"/>
  <c r="J12" i="14"/>
  <c r="K12" i="14" s="1"/>
  <c r="L12" i="14"/>
  <c r="M12" i="14" s="1"/>
  <c r="N12" i="14"/>
  <c r="O12" i="14" s="1"/>
  <c r="B13" i="14"/>
  <c r="C13" i="14" s="1"/>
  <c r="F13" i="14"/>
  <c r="G13" i="14" s="1"/>
  <c r="H13" i="14"/>
  <c r="I13" i="14" s="1"/>
  <c r="F14" i="14"/>
  <c r="G14" i="14" s="1"/>
  <c r="H14" i="14"/>
  <c r="I14" i="14" s="1"/>
  <c r="B15" i="14"/>
  <c r="C15" i="14" s="1"/>
  <c r="D15" i="14"/>
  <c r="E15" i="14" s="1"/>
  <c r="F15" i="14"/>
  <c r="G15" i="14" s="1"/>
  <c r="L15" i="14"/>
  <c r="M15" i="14" s="1"/>
  <c r="N15" i="14"/>
  <c r="O15" i="14" s="1"/>
  <c r="B16" i="14"/>
  <c r="C16" i="14" s="1"/>
  <c r="D16" i="14"/>
  <c r="E16" i="14" s="1"/>
  <c r="F16" i="14"/>
  <c r="G16" i="14" s="1"/>
  <c r="H16" i="14"/>
  <c r="I16" i="14" s="1"/>
  <c r="J16" i="14"/>
  <c r="K16" i="14" s="1"/>
  <c r="L16" i="14"/>
  <c r="M16" i="14" s="1"/>
  <c r="N16" i="14"/>
  <c r="O16" i="14" s="1"/>
  <c r="B17" i="14"/>
  <c r="C17" i="14" s="1"/>
  <c r="D17" i="14"/>
  <c r="E17" i="14" s="1"/>
  <c r="F17" i="14"/>
  <c r="G17" i="14" s="1"/>
  <c r="H17" i="14"/>
  <c r="I17" i="14" s="1"/>
  <c r="J17" i="14"/>
  <c r="K17" i="14" s="1"/>
  <c r="L17" i="14"/>
  <c r="M17" i="14" s="1"/>
  <c r="D18" i="14"/>
  <c r="E18" i="14" s="1"/>
  <c r="B6" i="14"/>
  <c r="D6" i="14"/>
  <c r="F6" i="14"/>
  <c r="H6" i="14"/>
  <c r="J6" i="14"/>
  <c r="L6" i="14"/>
  <c r="N6" i="14"/>
  <c r="B7" i="14"/>
  <c r="C7" i="14" s="1"/>
  <c r="D7" i="14"/>
  <c r="E7" i="14" s="1"/>
  <c r="H7" i="14"/>
  <c r="I7" i="14" s="1"/>
  <c r="L7" i="14"/>
  <c r="M7" i="14" s="1"/>
  <c r="L9" i="14"/>
  <c r="M9" i="14" s="1"/>
  <c r="N9" i="14"/>
  <c r="O9" i="14" s="1"/>
  <c r="D10" i="14"/>
  <c r="E10" i="14" s="1"/>
  <c r="N10" i="14"/>
  <c r="O10" i="14" s="1"/>
  <c r="B11" i="14"/>
  <c r="C11" i="14" s="1"/>
  <c r="J11" i="14"/>
  <c r="K11" i="14" s="1"/>
  <c r="L11" i="14"/>
  <c r="M11" i="14" s="1"/>
  <c r="N11" i="14"/>
  <c r="O11" i="14" s="1"/>
  <c r="B12" i="14"/>
  <c r="C12" i="14" s="1"/>
  <c r="H12" i="14"/>
  <c r="I12" i="14" s="1"/>
  <c r="D13" i="14"/>
  <c r="E13" i="14" s="1"/>
  <c r="J13" i="14"/>
  <c r="K13" i="14" s="1"/>
  <c r="L13" i="14"/>
  <c r="M13" i="14" s="1"/>
  <c r="N13" i="14"/>
  <c r="O13" i="14" s="1"/>
  <c r="B14" i="14"/>
  <c r="C14" i="14" s="1"/>
  <c r="D14" i="14"/>
  <c r="E14" i="14" s="1"/>
  <c r="J14" i="14"/>
  <c r="K14" i="14" s="1"/>
  <c r="L14" i="14"/>
  <c r="M14" i="14" s="1"/>
  <c r="N14" i="14"/>
  <c r="O14" i="14" s="1"/>
  <c r="H15" i="14"/>
  <c r="I15" i="14" s="1"/>
  <c r="J15" i="14"/>
  <c r="K15" i="14" s="1"/>
  <c r="N17" i="14"/>
  <c r="O17" i="14" s="1"/>
  <c r="B18" i="14"/>
  <c r="C18" i="14" s="1"/>
  <c r="F18" i="14"/>
  <c r="G18" i="14" s="1"/>
  <c r="H18" i="14"/>
  <c r="I18" i="14" s="1"/>
  <c r="J18" i="14"/>
  <c r="K18" i="14" s="1"/>
  <c r="L18" i="14"/>
  <c r="M18" i="14" s="1"/>
  <c r="N18" i="14"/>
  <c r="O18" i="14" s="1"/>
  <c r="B19" i="14"/>
  <c r="C19" i="14" s="1"/>
  <c r="D19" i="14"/>
  <c r="E19" i="14" s="1"/>
  <c r="F19" i="14"/>
  <c r="G19" i="14" s="1"/>
  <c r="H19" i="14"/>
  <c r="I19" i="14" s="1"/>
  <c r="J19" i="14"/>
  <c r="K19" i="14" s="1"/>
  <c r="L19" i="14"/>
  <c r="M19" i="14" s="1"/>
  <c r="N19" i="14"/>
  <c r="O19" i="14" s="1"/>
  <c r="B20" i="14"/>
  <c r="C20" i="14" s="1"/>
  <c r="D20" i="14"/>
  <c r="E20" i="14" s="1"/>
  <c r="F20" i="14"/>
  <c r="G20" i="14" s="1"/>
  <c r="H20" i="14"/>
  <c r="I20" i="14" s="1"/>
  <c r="J20" i="14"/>
  <c r="K20" i="14" s="1"/>
  <c r="L20" i="14"/>
  <c r="M20" i="14" s="1"/>
  <c r="N20" i="14"/>
  <c r="O20" i="14" s="1"/>
  <c r="B21" i="14"/>
  <c r="C21" i="14" s="1"/>
  <c r="D21" i="14"/>
  <c r="E21" i="14" s="1"/>
  <c r="F21" i="14"/>
  <c r="G21" i="14" s="1"/>
  <c r="H21" i="14"/>
  <c r="I21" i="14" s="1"/>
  <c r="J21" i="14"/>
  <c r="K21" i="14" s="1"/>
  <c r="L21" i="14"/>
  <c r="M21" i="14" s="1"/>
  <c r="N21" i="14"/>
  <c r="O21" i="14" s="1"/>
  <c r="B22" i="14"/>
  <c r="C22" i="14" s="1"/>
  <c r="D22" i="14"/>
  <c r="E22" i="14" s="1"/>
  <c r="F22" i="14"/>
  <c r="G22" i="14" s="1"/>
  <c r="H22" i="14"/>
  <c r="I22" i="14" s="1"/>
  <c r="J22" i="14"/>
  <c r="K22" i="14" s="1"/>
  <c r="L22" i="14"/>
  <c r="M22" i="14" s="1"/>
  <c r="N22" i="14"/>
  <c r="O22" i="14" s="1"/>
  <c r="B23" i="14"/>
  <c r="C23" i="14" s="1"/>
  <c r="D23" i="14"/>
  <c r="E23" i="14" s="1"/>
  <c r="F23" i="14"/>
  <c r="G23" i="14" s="1"/>
  <c r="H23" i="14"/>
  <c r="I23" i="14" s="1"/>
  <c r="J23" i="14"/>
  <c r="K23" i="14" s="1"/>
  <c r="L23" i="14"/>
  <c r="M23" i="14" s="1"/>
  <c r="N23" i="14"/>
  <c r="O23" i="14" s="1"/>
  <c r="B24" i="14"/>
  <c r="C24" i="14" s="1"/>
  <c r="D24" i="14"/>
  <c r="E24" i="14" s="1"/>
  <c r="F24" i="14"/>
  <c r="G24" i="14" s="1"/>
  <c r="H24" i="14"/>
  <c r="I24" i="14" s="1"/>
  <c r="J24" i="14"/>
  <c r="K24" i="14" s="1"/>
  <c r="L24" i="14"/>
  <c r="M24" i="14" s="1"/>
  <c r="N24" i="14"/>
  <c r="O24" i="14" s="1"/>
  <c r="B25" i="14"/>
  <c r="C25" i="14" s="1"/>
  <c r="D25" i="14"/>
  <c r="E25" i="14" s="1"/>
  <c r="F25" i="14"/>
  <c r="G25" i="14" s="1"/>
  <c r="H25" i="14"/>
  <c r="I25" i="14" s="1"/>
  <c r="J25" i="14"/>
  <c r="K25" i="14" s="1"/>
  <c r="L25" i="14"/>
  <c r="M25" i="14" s="1"/>
  <c r="N25" i="14"/>
  <c r="O25" i="14" s="1"/>
  <c r="B26" i="14"/>
  <c r="C26" i="14" s="1"/>
  <c r="D26" i="14"/>
  <c r="E26" i="14" s="1"/>
  <c r="F26" i="14"/>
  <c r="G26" i="14" s="1"/>
  <c r="H26" i="14"/>
  <c r="I26" i="14" s="1"/>
  <c r="J26" i="14"/>
  <c r="K26" i="14" s="1"/>
  <c r="L26" i="14"/>
  <c r="M26" i="14" s="1"/>
  <c r="N26" i="14"/>
  <c r="O26" i="14" s="1"/>
  <c r="B27" i="14"/>
  <c r="C27" i="14" s="1"/>
  <c r="D27" i="14"/>
  <c r="E27" i="14" s="1"/>
  <c r="F27" i="14"/>
  <c r="G27" i="14" s="1"/>
  <c r="H27" i="14"/>
  <c r="I27" i="14" s="1"/>
  <c r="J27" i="14"/>
  <c r="K27" i="14" s="1"/>
  <c r="L27" i="14"/>
  <c r="M27" i="14" s="1"/>
  <c r="N27" i="14"/>
  <c r="O27" i="14" s="1"/>
  <c r="B28" i="14"/>
  <c r="C28" i="14" s="1"/>
  <c r="D28" i="14"/>
  <c r="E28" i="14" s="1"/>
  <c r="F28" i="14"/>
  <c r="G28" i="14" s="1"/>
  <c r="H28" i="14"/>
  <c r="I28" i="14" s="1"/>
  <c r="J28" i="14"/>
  <c r="K28" i="14" s="1"/>
  <c r="L28" i="14"/>
  <c r="M28" i="14" s="1"/>
  <c r="N28" i="14"/>
  <c r="O28" i="14" s="1"/>
  <c r="B29" i="14"/>
  <c r="C29" i="14" s="1"/>
  <c r="D29" i="14"/>
  <c r="E29" i="14" s="1"/>
  <c r="F29" i="14"/>
  <c r="G29" i="14" s="1"/>
  <c r="H29" i="14"/>
  <c r="I29" i="14" s="1"/>
  <c r="J29" i="14"/>
  <c r="K29" i="14" s="1"/>
  <c r="L29" i="14"/>
  <c r="M29" i="14" s="1"/>
  <c r="N29" i="14"/>
  <c r="O29" i="14" s="1"/>
  <c r="B30" i="14"/>
  <c r="D30" i="14"/>
  <c r="F30" i="14"/>
  <c r="H30" i="14"/>
  <c r="J30" i="14"/>
  <c r="L30" i="14"/>
  <c r="N30" i="14"/>
  <c r="B31" i="14"/>
  <c r="C31" i="14" s="1"/>
  <c r="D31" i="14"/>
  <c r="E31" i="14" s="1"/>
  <c r="F31" i="14"/>
  <c r="G31" i="14" s="1"/>
  <c r="H31" i="14"/>
  <c r="I31" i="14" s="1"/>
  <c r="J31" i="14"/>
  <c r="K31" i="14" s="1"/>
  <c r="L31" i="14"/>
  <c r="M31" i="14" s="1"/>
  <c r="N31" i="14"/>
  <c r="O31" i="14" s="1"/>
  <c r="B32" i="14"/>
  <c r="C32" i="14" s="1"/>
  <c r="D32" i="14"/>
  <c r="E32" i="14" s="1"/>
  <c r="F32" i="14"/>
  <c r="G32" i="14" s="1"/>
  <c r="H32" i="14"/>
  <c r="I32" i="14" s="1"/>
  <c r="J32" i="14"/>
  <c r="K32" i="14" s="1"/>
  <c r="L32" i="14"/>
  <c r="M32" i="14" s="1"/>
  <c r="N32" i="14"/>
  <c r="O32" i="14" s="1"/>
  <c r="B33" i="14"/>
  <c r="D33" i="14"/>
  <c r="F33" i="14"/>
  <c r="H33" i="14"/>
  <c r="J33" i="14"/>
  <c r="L33" i="14"/>
  <c r="N33" i="14"/>
  <c r="B34" i="14"/>
  <c r="C34" i="14" s="1"/>
  <c r="D34" i="14"/>
  <c r="E34" i="14" s="1"/>
  <c r="F34" i="14"/>
  <c r="G34" i="14" s="1"/>
  <c r="H34" i="14"/>
  <c r="I34" i="14" s="1"/>
  <c r="J34" i="14"/>
  <c r="K34" i="14" s="1"/>
  <c r="L34" i="14"/>
  <c r="M34" i="14" s="1"/>
  <c r="N34" i="14"/>
  <c r="O34" i="14" s="1"/>
  <c r="B35" i="14"/>
  <c r="C35" i="14" s="1"/>
  <c r="D35" i="14"/>
  <c r="E35" i="14" s="1"/>
  <c r="F35" i="14"/>
  <c r="G35" i="14" s="1"/>
  <c r="H35" i="14"/>
  <c r="I35" i="14" s="1"/>
  <c r="J35" i="14"/>
  <c r="K35" i="14" s="1"/>
  <c r="L35" i="14"/>
  <c r="M35" i="14" s="1"/>
  <c r="N35" i="14"/>
  <c r="O35" i="14" s="1"/>
  <c r="B36" i="14"/>
  <c r="C36" i="14" s="1"/>
  <c r="D36" i="14"/>
  <c r="E36" i="14" s="1"/>
  <c r="F36" i="14"/>
  <c r="G36" i="14" s="1"/>
  <c r="H36" i="14"/>
  <c r="I36" i="14" s="1"/>
  <c r="J36" i="14"/>
  <c r="K36" i="14" s="1"/>
  <c r="L36" i="14"/>
  <c r="M36" i="14" s="1"/>
  <c r="N36" i="14"/>
  <c r="O36" i="14" s="1"/>
  <c r="B37" i="14"/>
  <c r="D37" i="14"/>
  <c r="F37" i="14"/>
  <c r="H37" i="14"/>
  <c r="J37" i="14"/>
  <c r="L37" i="14"/>
  <c r="N37" i="14"/>
  <c r="B38" i="14"/>
  <c r="C38" i="14" s="1"/>
  <c r="D38" i="14"/>
  <c r="E38" i="14" s="1"/>
  <c r="H40" i="14"/>
  <c r="I40" i="14" s="1"/>
  <c r="J41" i="14"/>
  <c r="B42" i="14"/>
  <c r="C42" i="14" s="1"/>
  <c r="L42" i="14"/>
  <c r="M42" i="14" s="1"/>
  <c r="F43" i="14"/>
  <c r="G43" i="14" s="1"/>
  <c r="J43" i="14"/>
  <c r="K43" i="14" s="1"/>
  <c r="B44" i="14"/>
  <c r="C44" i="14" s="1"/>
  <c r="F44" i="14"/>
  <c r="G44" i="14" s="1"/>
  <c r="F45" i="14"/>
  <c r="H45" i="14"/>
  <c r="L45" i="14"/>
  <c r="N45" i="14"/>
  <c r="F38" i="14"/>
  <c r="G38" i="14" s="1"/>
  <c r="B39" i="14"/>
  <c r="C39" i="14" s="1"/>
  <c r="J39" i="14"/>
  <c r="K39" i="14" s="1"/>
  <c r="L40" i="14"/>
  <c r="M40" i="14" s="1"/>
  <c r="N40" i="14"/>
  <c r="O40" i="14" s="1"/>
  <c r="F41" i="14"/>
  <c r="L41" i="14"/>
  <c r="J42" i="14"/>
  <c r="K42" i="14" s="1"/>
  <c r="B43" i="14"/>
  <c r="C43" i="14" s="1"/>
  <c r="L43" i="14"/>
  <c r="M43" i="14" s="1"/>
  <c r="N43" i="14"/>
  <c r="O43" i="14" s="1"/>
  <c r="H44" i="14"/>
  <c r="I44" i="14" s="1"/>
  <c r="H38" i="14"/>
  <c r="I38" i="14" s="1"/>
  <c r="J38" i="14"/>
  <c r="K38" i="14" s="1"/>
  <c r="L38" i="14"/>
  <c r="M38" i="14" s="1"/>
  <c r="N38" i="14"/>
  <c r="O38" i="14" s="1"/>
  <c r="L39" i="14"/>
  <c r="M39" i="14" s="1"/>
  <c r="N39" i="14"/>
  <c r="O39" i="14" s="1"/>
  <c r="D40" i="14"/>
  <c r="E40" i="14" s="1"/>
  <c r="J40" i="14"/>
  <c r="K40" i="14" s="1"/>
  <c r="B41" i="14"/>
  <c r="D41" i="14"/>
  <c r="H41" i="14"/>
  <c r="N41" i="14"/>
  <c r="D42" i="14"/>
  <c r="E42" i="14" s="1"/>
  <c r="N42" i="14"/>
  <c r="O42" i="14" s="1"/>
  <c r="D44" i="14"/>
  <c r="E44" i="14" s="1"/>
  <c r="J44" i="14"/>
  <c r="K44" i="14" s="1"/>
  <c r="L44" i="14"/>
  <c r="M44" i="14" s="1"/>
  <c r="N44" i="14"/>
  <c r="O44" i="14" s="1"/>
  <c r="B45" i="14"/>
  <c r="D45" i="14"/>
  <c r="J45" i="14"/>
  <c r="D39" i="14"/>
  <c r="E39" i="14" s="1"/>
  <c r="F39" i="14"/>
  <c r="G39" i="14" s="1"/>
  <c r="H39" i="14"/>
  <c r="I39" i="14" s="1"/>
  <c r="B40" i="14"/>
  <c r="C40" i="14" s="1"/>
  <c r="F40" i="14"/>
  <c r="G40" i="14" s="1"/>
  <c r="F42" i="14"/>
  <c r="G42" i="14" s="1"/>
  <c r="H42" i="14"/>
  <c r="I42" i="14" s="1"/>
  <c r="D43" i="14"/>
  <c r="E43" i="14" s="1"/>
  <c r="H43" i="14"/>
  <c r="I43" i="14" s="1"/>
  <c r="F5" i="5"/>
  <c r="D45" i="5"/>
  <c r="C8" i="6"/>
  <c r="H9" i="10"/>
  <c r="C9" i="6"/>
  <c r="H10" i="10"/>
  <c r="I10" i="10" s="1"/>
  <c r="C10" i="6"/>
  <c r="H11" i="10"/>
  <c r="I11" i="10" s="1"/>
  <c r="C11" i="6"/>
  <c r="H12" i="10"/>
  <c r="I12" i="10" s="1"/>
  <c r="C12" i="6"/>
  <c r="H13" i="10"/>
  <c r="I13" i="10" s="1"/>
  <c r="C13" i="6"/>
  <c r="H14" i="10"/>
  <c r="I14" i="10" s="1"/>
  <c r="C14" i="6"/>
  <c r="H15" i="10"/>
  <c r="I15" i="10" s="1"/>
  <c r="C15" i="6"/>
  <c r="H16" i="10"/>
  <c r="I16" i="10" s="1"/>
  <c r="C16" i="6"/>
  <c r="H17" i="10"/>
  <c r="I17" i="10" s="1"/>
  <c r="C17" i="6"/>
  <c r="H18" i="10"/>
  <c r="I18" i="10" s="1"/>
  <c r="C18" i="6"/>
  <c r="H19" i="10"/>
  <c r="I19" i="10" s="1"/>
  <c r="C19" i="6"/>
  <c r="H20" i="10"/>
  <c r="I20" i="10" s="1"/>
  <c r="C20" i="6"/>
  <c r="H21" i="10"/>
  <c r="I21" i="10" s="1"/>
  <c r="C21" i="6"/>
  <c r="H22" i="10"/>
  <c r="I22" i="10" s="1"/>
  <c r="C22" i="6"/>
  <c r="H23" i="10"/>
  <c r="I23" i="10" s="1"/>
  <c r="C23" i="6"/>
  <c r="H24" i="10"/>
  <c r="I24" i="10" s="1"/>
  <c r="C24" i="6"/>
  <c r="H25" i="10"/>
  <c r="I25" i="10" s="1"/>
  <c r="C25" i="6"/>
  <c r="H26" i="10"/>
  <c r="I26" i="10" s="1"/>
  <c r="C26" i="6"/>
  <c r="H27" i="10"/>
  <c r="I27" i="10" s="1"/>
  <c r="C27" i="6"/>
  <c r="H28" i="10"/>
  <c r="I28" i="10" s="1"/>
  <c r="C28" i="6"/>
  <c r="H29" i="10"/>
  <c r="I29" i="10" s="1"/>
  <c r="C29" i="6"/>
  <c r="H30" i="10"/>
  <c r="I30" i="10" s="1"/>
  <c r="C30" i="6"/>
  <c r="H31" i="10"/>
  <c r="I31" i="10" s="1"/>
  <c r="C31" i="6"/>
  <c r="H32" i="10"/>
  <c r="I32" i="10" s="1"/>
  <c r="H20" i="7"/>
  <c r="C32" i="6"/>
  <c r="E20" i="7"/>
  <c r="H33" i="10"/>
  <c r="I33" i="10" s="1"/>
  <c r="C33" i="6"/>
  <c r="H34" i="10"/>
  <c r="I34" i="10" s="1"/>
  <c r="O8" i="10"/>
  <c r="Q8" i="10"/>
  <c r="B58" i="10"/>
  <c r="G49" i="10"/>
  <c r="D8" i="6"/>
  <c r="J68" i="10" l="1"/>
  <c r="F34" i="6"/>
  <c r="B95" i="6" s="1"/>
  <c r="G34" i="6"/>
  <c r="H34" i="6"/>
  <c r="D95" i="6" s="1"/>
  <c r="I34" i="6"/>
  <c r="E95" i="6" s="1"/>
  <c r="J34" i="6"/>
  <c r="F95" i="6" s="1"/>
  <c r="K34" i="6"/>
  <c r="G95" i="6" s="1"/>
  <c r="L34" i="6"/>
  <c r="H95" i="6" s="1"/>
  <c r="M34" i="6"/>
  <c r="I95" i="6" s="1"/>
  <c r="Q35" i="10"/>
  <c r="R35" i="10" s="1"/>
  <c r="O35" i="10"/>
  <c r="P35" i="10" s="1"/>
  <c r="G35" i="6"/>
  <c r="K35" i="6"/>
  <c r="G96" i="6" s="1"/>
  <c r="I35" i="6"/>
  <c r="E96" i="6" s="1"/>
  <c r="F35" i="6"/>
  <c r="B96" i="6" s="1"/>
  <c r="L35" i="6"/>
  <c r="H96" i="6" s="1"/>
  <c r="H35" i="6"/>
  <c r="D96" i="6" s="1"/>
  <c r="J35" i="6"/>
  <c r="F96" i="6" s="1"/>
  <c r="M35" i="6"/>
  <c r="I96" i="6" s="1"/>
  <c r="Q36" i="10"/>
  <c r="O36" i="10"/>
  <c r="G36" i="6"/>
  <c r="I36" i="6"/>
  <c r="L36" i="6"/>
  <c r="H36" i="6"/>
  <c r="F36" i="6"/>
  <c r="J36" i="6"/>
  <c r="F97" i="6" s="1"/>
  <c r="K36" i="6"/>
  <c r="G97" i="6" s="1"/>
  <c r="M36" i="6"/>
  <c r="I97" i="6" s="1"/>
  <c r="M40" i="10"/>
  <c r="N40" i="10" s="1"/>
  <c r="G21" i="7"/>
  <c r="I21" i="7"/>
  <c r="J21" i="7" s="1"/>
  <c r="I6" i="9"/>
  <c r="K6" i="9" s="1"/>
  <c r="I10" i="9"/>
  <c r="I14" i="9"/>
  <c r="I18" i="9"/>
  <c r="I22" i="9"/>
  <c r="I26" i="9"/>
  <c r="I30" i="9"/>
  <c r="Q37" i="10"/>
  <c r="R37" i="10" s="1"/>
  <c r="O37" i="10"/>
  <c r="P37" i="10" s="1"/>
  <c r="G37" i="6"/>
  <c r="J37" i="6"/>
  <c r="F98" i="6" s="1"/>
  <c r="M37" i="6"/>
  <c r="I98" i="6" s="1"/>
  <c r="F37" i="6"/>
  <c r="B98" i="6" s="1"/>
  <c r="I37" i="6"/>
  <c r="E98" i="6" s="1"/>
  <c r="L37" i="6"/>
  <c r="H98" i="6" s="1"/>
  <c r="H37" i="6"/>
  <c r="D98" i="6" s="1"/>
  <c r="K37" i="6"/>
  <c r="G98" i="6" s="1"/>
  <c r="Q38" i="10"/>
  <c r="R38" i="10" s="1"/>
  <c r="O38" i="10"/>
  <c r="P38" i="10" s="1"/>
  <c r="Q39" i="10"/>
  <c r="R39" i="10" s="1"/>
  <c r="O39" i="10"/>
  <c r="P39" i="10" s="1"/>
  <c r="J38" i="6"/>
  <c r="F99" i="6" s="1"/>
  <c r="I38" i="6"/>
  <c r="E99" i="6" s="1"/>
  <c r="F38" i="6"/>
  <c r="B99" i="6" s="1"/>
  <c r="G38" i="6"/>
  <c r="H38" i="6"/>
  <c r="D99" i="6" s="1"/>
  <c r="K38" i="6"/>
  <c r="G99" i="6" s="1"/>
  <c r="L38" i="6"/>
  <c r="H99" i="6" s="1"/>
  <c r="M38" i="6"/>
  <c r="I99" i="6" s="1"/>
  <c r="F39" i="6"/>
  <c r="B100" i="6" s="1"/>
  <c r="G39" i="6"/>
  <c r="H39" i="6"/>
  <c r="D100" i="6" s="1"/>
  <c r="I39" i="6"/>
  <c r="E100" i="6" s="1"/>
  <c r="J39" i="6"/>
  <c r="F100" i="6" s="1"/>
  <c r="K39" i="6"/>
  <c r="G100" i="6" s="1"/>
  <c r="L39" i="6"/>
  <c r="H100" i="6" s="1"/>
  <c r="M39" i="6"/>
  <c r="I100" i="6" s="1"/>
  <c r="Q40" i="10"/>
  <c r="O40" i="10"/>
  <c r="M44" i="10"/>
  <c r="N44" i="10" s="1"/>
  <c r="G22" i="7"/>
  <c r="I22" i="7"/>
  <c r="J22" i="7" s="1"/>
  <c r="I7" i="9"/>
  <c r="K7" i="9" s="1"/>
  <c r="I11" i="9"/>
  <c r="K11" i="9" s="1"/>
  <c r="I15" i="9"/>
  <c r="K15" i="9" s="1"/>
  <c r="I19" i="9"/>
  <c r="K19" i="9" s="1"/>
  <c r="I23" i="9"/>
  <c r="K23" i="9" s="1"/>
  <c r="I27" i="9"/>
  <c r="K27" i="9" s="1"/>
  <c r="I31" i="9"/>
  <c r="K31" i="9" s="1"/>
  <c r="F40" i="6"/>
  <c r="G40" i="6"/>
  <c r="H40" i="6"/>
  <c r="I40" i="6"/>
  <c r="J40" i="6"/>
  <c r="F101" i="6" s="1"/>
  <c r="K40" i="6"/>
  <c r="G101" i="6" s="1"/>
  <c r="M40" i="6"/>
  <c r="I101" i="6" s="1"/>
  <c r="L40" i="6"/>
  <c r="Q41" i="10"/>
  <c r="R41" i="10" s="1"/>
  <c r="O41" i="10"/>
  <c r="P41" i="10" s="1"/>
  <c r="Q42" i="10"/>
  <c r="R42" i="10" s="1"/>
  <c r="O42" i="10"/>
  <c r="P42" i="10" s="1"/>
  <c r="G41" i="6"/>
  <c r="I41" i="6"/>
  <c r="E102" i="6" s="1"/>
  <c r="J41" i="6"/>
  <c r="F102" i="6" s="1"/>
  <c r="K41" i="6"/>
  <c r="G102" i="6" s="1"/>
  <c r="M41" i="6"/>
  <c r="I102" i="6" s="1"/>
  <c r="F41" i="6"/>
  <c r="B102" i="6" s="1"/>
  <c r="H41" i="6"/>
  <c r="D102" i="6" s="1"/>
  <c r="L41" i="6"/>
  <c r="H102" i="6" s="1"/>
  <c r="F42" i="6"/>
  <c r="B103" i="6" s="1"/>
  <c r="G42" i="6"/>
  <c r="H42" i="6"/>
  <c r="D103" i="6" s="1"/>
  <c r="I42" i="6"/>
  <c r="E103" i="6" s="1"/>
  <c r="J42" i="6"/>
  <c r="F103" i="6" s="1"/>
  <c r="K42" i="6"/>
  <c r="G103" i="6" s="1"/>
  <c r="L42" i="6"/>
  <c r="H103" i="6" s="1"/>
  <c r="M42" i="6"/>
  <c r="I103" i="6" s="1"/>
  <c r="O43" i="10"/>
  <c r="P43" i="10" s="1"/>
  <c r="Q43" i="10"/>
  <c r="R43" i="10" s="1"/>
  <c r="F43" i="6"/>
  <c r="B104" i="6" s="1"/>
  <c r="G43" i="6"/>
  <c r="H43" i="6"/>
  <c r="D104" i="6" s="1"/>
  <c r="I43" i="6"/>
  <c r="E104" i="6" s="1"/>
  <c r="J43" i="6"/>
  <c r="F104" i="6" s="1"/>
  <c r="K43" i="6"/>
  <c r="G104" i="6" s="1"/>
  <c r="L43" i="6"/>
  <c r="H104" i="6" s="1"/>
  <c r="M43" i="6"/>
  <c r="I104" i="6" s="1"/>
  <c r="Q44" i="10"/>
  <c r="O44" i="10"/>
  <c r="M48" i="10"/>
  <c r="N48" i="10" s="1"/>
  <c r="G23" i="7"/>
  <c r="I23" i="7"/>
  <c r="J23" i="7" s="1"/>
  <c r="I8" i="9"/>
  <c r="K8" i="9" s="1"/>
  <c r="I12" i="9"/>
  <c r="K12" i="9" s="1"/>
  <c r="I16" i="9"/>
  <c r="K16" i="9" s="1"/>
  <c r="I20" i="9"/>
  <c r="K20" i="9" s="1"/>
  <c r="I24" i="9"/>
  <c r="K24" i="9" s="1"/>
  <c r="I28" i="9"/>
  <c r="K28" i="9" s="1"/>
  <c r="I32" i="9"/>
  <c r="K32" i="9" s="1"/>
  <c r="F44" i="6"/>
  <c r="G44" i="6"/>
  <c r="H44" i="6"/>
  <c r="I44" i="6"/>
  <c r="J44" i="6"/>
  <c r="F105" i="6" s="1"/>
  <c r="K44" i="6"/>
  <c r="G105" i="6" s="1"/>
  <c r="L44" i="6"/>
  <c r="M44" i="6"/>
  <c r="I105" i="6" s="1"/>
  <c r="O45" i="10"/>
  <c r="P45" i="10" s="1"/>
  <c r="Q45" i="10"/>
  <c r="R45" i="10" s="1"/>
  <c r="F45" i="6"/>
  <c r="B106" i="6" s="1"/>
  <c r="G45" i="6"/>
  <c r="H45" i="6"/>
  <c r="D106" i="6" s="1"/>
  <c r="I45" i="6"/>
  <c r="E106" i="6" s="1"/>
  <c r="J45" i="6"/>
  <c r="F106" i="6" s="1"/>
  <c r="K45" i="6"/>
  <c r="G106" i="6" s="1"/>
  <c r="L45" i="6"/>
  <c r="H106" i="6" s="1"/>
  <c r="M45" i="6"/>
  <c r="I106" i="6" s="1"/>
  <c r="Q46" i="10"/>
  <c r="R46" i="10" s="1"/>
  <c r="O46" i="10"/>
  <c r="P46" i="10" s="1"/>
  <c r="F46" i="6"/>
  <c r="B107" i="6" s="1"/>
  <c r="G46" i="6"/>
  <c r="H46" i="6"/>
  <c r="D107" i="6" s="1"/>
  <c r="I46" i="6"/>
  <c r="E107" i="6" s="1"/>
  <c r="J46" i="6"/>
  <c r="F107" i="6" s="1"/>
  <c r="K46" i="6"/>
  <c r="G107" i="6" s="1"/>
  <c r="L46" i="6"/>
  <c r="H107" i="6" s="1"/>
  <c r="M46" i="6"/>
  <c r="I107" i="6" s="1"/>
  <c r="Q47" i="10"/>
  <c r="R47" i="10" s="1"/>
  <c r="O47" i="10"/>
  <c r="P47" i="10" s="1"/>
  <c r="F47" i="6"/>
  <c r="B108" i="6" s="1"/>
  <c r="G47" i="6"/>
  <c r="H47" i="6"/>
  <c r="D108" i="6" s="1"/>
  <c r="I47" i="6"/>
  <c r="E108" i="6" s="1"/>
  <c r="J47" i="6"/>
  <c r="F108" i="6" s="1"/>
  <c r="K47" i="6"/>
  <c r="G108" i="6" s="1"/>
  <c r="L47" i="6"/>
  <c r="H108" i="6" s="1"/>
  <c r="M47" i="6"/>
  <c r="I108" i="6" s="1"/>
  <c r="Q48" i="10"/>
  <c r="O48" i="10"/>
  <c r="M5" i="9"/>
  <c r="M6" i="9"/>
  <c r="M7" i="9"/>
  <c r="M8" i="9"/>
  <c r="M9" i="9"/>
  <c r="K10" i="9"/>
  <c r="M10" i="9"/>
  <c r="M11" i="9"/>
  <c r="M12" i="9"/>
  <c r="M13" i="9"/>
  <c r="K14" i="9"/>
  <c r="M14" i="9"/>
  <c r="M15" i="9"/>
  <c r="M16" i="9"/>
  <c r="M17" i="9"/>
  <c r="K18" i="9"/>
  <c r="M18" i="9"/>
  <c r="M19" i="9"/>
  <c r="M20" i="9"/>
  <c r="M21" i="9"/>
  <c r="K22" i="9"/>
  <c r="M22" i="9"/>
  <c r="M23" i="9"/>
  <c r="M24" i="9"/>
  <c r="M25" i="9"/>
  <c r="K26" i="9"/>
  <c r="M26" i="9"/>
  <c r="M27" i="9"/>
  <c r="M28" i="9"/>
  <c r="M29" i="9"/>
  <c r="K30" i="9"/>
  <c r="M30" i="9"/>
  <c r="M31" i="9"/>
  <c r="M32" i="9"/>
  <c r="M63" i="10"/>
  <c r="E63" i="10"/>
  <c r="C6" i="14"/>
  <c r="O63" i="10"/>
  <c r="M64" i="10"/>
  <c r="O64" i="10"/>
  <c r="E6" i="14"/>
  <c r="E64" i="10"/>
  <c r="M65" i="10"/>
  <c r="G6" i="14"/>
  <c r="E65" i="10"/>
  <c r="O65" i="10"/>
  <c r="M66" i="10"/>
  <c r="I6" i="14"/>
  <c r="E66" i="10"/>
  <c r="O66" i="10"/>
  <c r="M67" i="10"/>
  <c r="K6" i="14"/>
  <c r="O67" i="10"/>
  <c r="E67" i="10"/>
  <c r="M68" i="10"/>
  <c r="M6" i="14"/>
  <c r="E68" i="10"/>
  <c r="O68" i="10"/>
  <c r="M69" i="10"/>
  <c r="O69" i="10"/>
  <c r="O6" i="14"/>
  <c r="E69" i="10"/>
  <c r="C30" i="14"/>
  <c r="H63" i="10"/>
  <c r="K63" i="10" s="1"/>
  <c r="E30" i="14"/>
  <c r="H64" i="10"/>
  <c r="K64" i="10" s="1"/>
  <c r="G30" i="14"/>
  <c r="H65" i="10"/>
  <c r="K65" i="10" s="1"/>
  <c r="I30" i="14"/>
  <c r="H66" i="10"/>
  <c r="K66" i="10" s="1"/>
  <c r="K30" i="14"/>
  <c r="H67" i="10"/>
  <c r="K67" i="10" s="1"/>
  <c r="M30" i="14"/>
  <c r="H68" i="10"/>
  <c r="K68" i="10" s="1"/>
  <c r="O30" i="14"/>
  <c r="H69" i="10"/>
  <c r="K69" i="10" s="1"/>
  <c r="G5" i="5"/>
  <c r="C6" i="5" s="1"/>
  <c r="E8" i="6"/>
  <c r="F8" i="6"/>
  <c r="G8" i="6"/>
  <c r="H8" i="6"/>
  <c r="I8" i="6"/>
  <c r="J8" i="6"/>
  <c r="K8" i="6"/>
  <c r="L8" i="6"/>
  <c r="M8" i="6"/>
  <c r="C48" i="6"/>
  <c r="I9" i="10"/>
  <c r="H49" i="10"/>
  <c r="F9" i="6"/>
  <c r="B70" i="6" s="1"/>
  <c r="G9" i="6"/>
  <c r="H9" i="6"/>
  <c r="D70" i="6" s="1"/>
  <c r="I9" i="6"/>
  <c r="E70" i="6" s="1"/>
  <c r="J9" i="6"/>
  <c r="F70" i="6" s="1"/>
  <c r="K9" i="6"/>
  <c r="G70" i="6" s="1"/>
  <c r="L9" i="6"/>
  <c r="H70" i="6" s="1"/>
  <c r="M9" i="6"/>
  <c r="I70" i="6" s="1"/>
  <c r="Q10" i="10"/>
  <c r="R10" i="10" s="1"/>
  <c r="O10" i="10"/>
  <c r="P10" i="10" s="1"/>
  <c r="F10" i="6"/>
  <c r="B71" i="6" s="1"/>
  <c r="G10" i="6"/>
  <c r="H10" i="6"/>
  <c r="D71" i="6" s="1"/>
  <c r="I10" i="6"/>
  <c r="E71" i="6" s="1"/>
  <c r="J10" i="6"/>
  <c r="F71" i="6" s="1"/>
  <c r="K10" i="6"/>
  <c r="G71" i="6" s="1"/>
  <c r="L10" i="6"/>
  <c r="H71" i="6" s="1"/>
  <c r="M10" i="6"/>
  <c r="I71" i="6" s="1"/>
  <c r="Q11" i="10"/>
  <c r="R11" i="10" s="1"/>
  <c r="O11" i="10"/>
  <c r="P11" i="10" s="1"/>
  <c r="F11" i="6"/>
  <c r="B72" i="6" s="1"/>
  <c r="G11" i="6"/>
  <c r="H11" i="6"/>
  <c r="D72" i="6" s="1"/>
  <c r="I11" i="6"/>
  <c r="E72" i="6" s="1"/>
  <c r="J11" i="6"/>
  <c r="F72" i="6" s="1"/>
  <c r="K11" i="6"/>
  <c r="G72" i="6" s="1"/>
  <c r="L11" i="6"/>
  <c r="H72" i="6" s="1"/>
  <c r="M11" i="6"/>
  <c r="I72" i="6" s="1"/>
  <c r="Q12" i="10"/>
  <c r="R12" i="10" s="1"/>
  <c r="O12" i="10"/>
  <c r="P12" i="10" s="1"/>
  <c r="F12" i="6"/>
  <c r="G12" i="6"/>
  <c r="H12" i="6"/>
  <c r="I12" i="6"/>
  <c r="J12" i="6"/>
  <c r="F73" i="6" s="1"/>
  <c r="K12" i="6"/>
  <c r="G73" i="6" s="1"/>
  <c r="L12" i="6"/>
  <c r="M12" i="6"/>
  <c r="I73" i="6" s="1"/>
  <c r="Q13" i="10"/>
  <c r="R13" i="10" s="1"/>
  <c r="O13" i="10"/>
  <c r="P13" i="10" s="1"/>
  <c r="F13" i="6"/>
  <c r="B74" i="6" s="1"/>
  <c r="G13" i="6"/>
  <c r="H13" i="6"/>
  <c r="D74" i="6" s="1"/>
  <c r="I13" i="6"/>
  <c r="E74" i="6" s="1"/>
  <c r="J13" i="6"/>
  <c r="F74" i="6" s="1"/>
  <c r="K13" i="6"/>
  <c r="G74" i="6" s="1"/>
  <c r="L13" i="6"/>
  <c r="H74" i="6" s="1"/>
  <c r="M13" i="6"/>
  <c r="I74" i="6" s="1"/>
  <c r="Q14" i="10"/>
  <c r="R14" i="10" s="1"/>
  <c r="O14" i="10"/>
  <c r="P14" i="10" s="1"/>
  <c r="F14" i="6"/>
  <c r="B75" i="6" s="1"/>
  <c r="G14" i="6"/>
  <c r="H14" i="6"/>
  <c r="D75" i="6" s="1"/>
  <c r="I14" i="6"/>
  <c r="E75" i="6" s="1"/>
  <c r="J14" i="6"/>
  <c r="F75" i="6" s="1"/>
  <c r="K14" i="6"/>
  <c r="G75" i="6" s="1"/>
  <c r="L14" i="6"/>
  <c r="H75" i="6" s="1"/>
  <c r="M14" i="6"/>
  <c r="I75" i="6" s="1"/>
  <c r="Q15" i="10"/>
  <c r="R15" i="10" s="1"/>
  <c r="O15" i="10"/>
  <c r="P15" i="10" s="1"/>
  <c r="F15" i="6"/>
  <c r="B76" i="6" s="1"/>
  <c r="G15" i="6"/>
  <c r="H15" i="6"/>
  <c r="D76" i="6" s="1"/>
  <c r="I15" i="6"/>
  <c r="E76" i="6" s="1"/>
  <c r="J15" i="6"/>
  <c r="F76" i="6" s="1"/>
  <c r="K15" i="6"/>
  <c r="G76" i="6" s="1"/>
  <c r="L15" i="6"/>
  <c r="H76" i="6" s="1"/>
  <c r="M15" i="6"/>
  <c r="I76" i="6" s="1"/>
  <c r="Q16" i="10"/>
  <c r="R16" i="10" s="1"/>
  <c r="O16" i="10"/>
  <c r="P16" i="10" s="1"/>
  <c r="F16" i="6"/>
  <c r="G16" i="6"/>
  <c r="H16" i="6"/>
  <c r="I16" i="6"/>
  <c r="J16" i="6"/>
  <c r="F77" i="6" s="1"/>
  <c r="K16" i="6"/>
  <c r="G77" i="6" s="1"/>
  <c r="L16" i="6"/>
  <c r="M16" i="6"/>
  <c r="I77" i="6" s="1"/>
  <c r="Q17" i="10"/>
  <c r="R17" i="10" s="1"/>
  <c r="O17" i="10"/>
  <c r="P17" i="10" s="1"/>
  <c r="F17" i="6"/>
  <c r="B78" i="6" s="1"/>
  <c r="G17" i="6"/>
  <c r="H17" i="6"/>
  <c r="D78" i="6" s="1"/>
  <c r="I17" i="6"/>
  <c r="E78" i="6" s="1"/>
  <c r="J17" i="6"/>
  <c r="F78" i="6" s="1"/>
  <c r="K17" i="6"/>
  <c r="G78" i="6" s="1"/>
  <c r="L17" i="6"/>
  <c r="H78" i="6" s="1"/>
  <c r="M17" i="6"/>
  <c r="I78" i="6" s="1"/>
  <c r="Q18" i="10"/>
  <c r="R18" i="10" s="1"/>
  <c r="O18" i="10"/>
  <c r="P18" i="10" s="1"/>
  <c r="F18" i="6"/>
  <c r="B79" i="6" s="1"/>
  <c r="G18" i="6"/>
  <c r="H18" i="6"/>
  <c r="D79" i="6" s="1"/>
  <c r="I18" i="6"/>
  <c r="E79" i="6" s="1"/>
  <c r="J18" i="6"/>
  <c r="F79" i="6" s="1"/>
  <c r="K18" i="6"/>
  <c r="G79" i="6" s="1"/>
  <c r="L18" i="6"/>
  <c r="H79" i="6" s="1"/>
  <c r="M18" i="6"/>
  <c r="I79" i="6" s="1"/>
  <c r="Q19" i="10"/>
  <c r="R19" i="10" s="1"/>
  <c r="O19" i="10"/>
  <c r="P19" i="10" s="1"/>
  <c r="F19" i="6"/>
  <c r="B80" i="6" s="1"/>
  <c r="G19" i="6"/>
  <c r="H19" i="6"/>
  <c r="D80" i="6" s="1"/>
  <c r="I19" i="6"/>
  <c r="E80" i="6" s="1"/>
  <c r="J19" i="6"/>
  <c r="F80" i="6" s="1"/>
  <c r="K19" i="6"/>
  <c r="G80" i="6" s="1"/>
  <c r="L19" i="6"/>
  <c r="H80" i="6" s="1"/>
  <c r="M19" i="6"/>
  <c r="I80" i="6" s="1"/>
  <c r="Q20" i="10"/>
  <c r="R20" i="10" s="1"/>
  <c r="O20" i="10"/>
  <c r="P20" i="10" s="1"/>
  <c r="F20" i="6"/>
  <c r="G20" i="6"/>
  <c r="H20" i="6"/>
  <c r="I20" i="6"/>
  <c r="J20" i="6"/>
  <c r="F81" i="6" s="1"/>
  <c r="K20" i="6"/>
  <c r="G81" i="6" s="1"/>
  <c r="L20" i="6"/>
  <c r="M20" i="6"/>
  <c r="I81" i="6" s="1"/>
  <c r="Q21" i="10"/>
  <c r="R21" i="10" s="1"/>
  <c r="O21" i="10"/>
  <c r="P21" i="10" s="1"/>
  <c r="F21" i="6"/>
  <c r="B82" i="6" s="1"/>
  <c r="G21" i="6"/>
  <c r="H21" i="6"/>
  <c r="D82" i="6" s="1"/>
  <c r="I21" i="6"/>
  <c r="E82" i="6" s="1"/>
  <c r="J21" i="6"/>
  <c r="F82" i="6" s="1"/>
  <c r="K21" i="6"/>
  <c r="G82" i="6" s="1"/>
  <c r="L21" i="6"/>
  <c r="H82" i="6" s="1"/>
  <c r="M21" i="6"/>
  <c r="I82" i="6" s="1"/>
  <c r="Q22" i="10"/>
  <c r="R22" i="10" s="1"/>
  <c r="O22" i="10"/>
  <c r="P22" i="10" s="1"/>
  <c r="F22" i="6"/>
  <c r="B83" i="6" s="1"/>
  <c r="G22" i="6"/>
  <c r="H22" i="6"/>
  <c r="D83" i="6" s="1"/>
  <c r="I22" i="6"/>
  <c r="E83" i="6" s="1"/>
  <c r="J22" i="6"/>
  <c r="F83" i="6" s="1"/>
  <c r="K22" i="6"/>
  <c r="G83" i="6" s="1"/>
  <c r="L22" i="6"/>
  <c r="H83" i="6" s="1"/>
  <c r="M22" i="6"/>
  <c r="I83" i="6" s="1"/>
  <c r="Q23" i="10"/>
  <c r="R23" i="10" s="1"/>
  <c r="O23" i="10"/>
  <c r="P23" i="10" s="1"/>
  <c r="F23" i="6"/>
  <c r="B84" i="6" s="1"/>
  <c r="G23" i="6"/>
  <c r="H23" i="6"/>
  <c r="D84" i="6" s="1"/>
  <c r="I23" i="6"/>
  <c r="E84" i="6" s="1"/>
  <c r="J23" i="6"/>
  <c r="F84" i="6" s="1"/>
  <c r="K23" i="6"/>
  <c r="G84" i="6" s="1"/>
  <c r="L23" i="6"/>
  <c r="H84" i="6" s="1"/>
  <c r="M23" i="6"/>
  <c r="I84" i="6" s="1"/>
  <c r="O24" i="10"/>
  <c r="P24" i="10" s="1"/>
  <c r="Q24" i="10"/>
  <c r="R24" i="10" s="1"/>
  <c r="F24" i="6"/>
  <c r="G24" i="6"/>
  <c r="H24" i="6"/>
  <c r="I24" i="6"/>
  <c r="J24" i="6"/>
  <c r="F85" i="6" s="1"/>
  <c r="K24" i="6"/>
  <c r="G85" i="6" s="1"/>
  <c r="L24" i="6"/>
  <c r="M24" i="6"/>
  <c r="I85" i="6" s="1"/>
  <c r="O25" i="10"/>
  <c r="P25" i="10" s="1"/>
  <c r="Q25" i="10"/>
  <c r="R25" i="10" s="1"/>
  <c r="F25" i="6"/>
  <c r="B86" i="6" s="1"/>
  <c r="G25" i="6"/>
  <c r="H25" i="6"/>
  <c r="D86" i="6" s="1"/>
  <c r="I25" i="6"/>
  <c r="E86" i="6" s="1"/>
  <c r="J25" i="6"/>
  <c r="F86" i="6" s="1"/>
  <c r="K25" i="6"/>
  <c r="G86" i="6" s="1"/>
  <c r="L25" i="6"/>
  <c r="H86" i="6" s="1"/>
  <c r="M25" i="6"/>
  <c r="I86" i="6" s="1"/>
  <c r="Q26" i="10"/>
  <c r="R26" i="10" s="1"/>
  <c r="O26" i="10"/>
  <c r="P26" i="10" s="1"/>
  <c r="F26" i="6"/>
  <c r="B87" i="6" s="1"/>
  <c r="G26" i="6"/>
  <c r="H26" i="6"/>
  <c r="D87" i="6" s="1"/>
  <c r="I26" i="6"/>
  <c r="E87" i="6" s="1"/>
  <c r="J26" i="6"/>
  <c r="F87" i="6" s="1"/>
  <c r="K26" i="6"/>
  <c r="G87" i="6" s="1"/>
  <c r="L26" i="6"/>
  <c r="H87" i="6" s="1"/>
  <c r="M26" i="6"/>
  <c r="I87" i="6" s="1"/>
  <c r="Q27" i="10"/>
  <c r="R27" i="10" s="1"/>
  <c r="O27" i="10"/>
  <c r="P27" i="10" s="1"/>
  <c r="F27" i="6"/>
  <c r="B88" i="6" s="1"/>
  <c r="G27" i="6"/>
  <c r="H27" i="6"/>
  <c r="D88" i="6" s="1"/>
  <c r="I27" i="6"/>
  <c r="E88" i="6" s="1"/>
  <c r="J27" i="6"/>
  <c r="F88" i="6" s="1"/>
  <c r="K27" i="6"/>
  <c r="G88" i="6" s="1"/>
  <c r="L27" i="6"/>
  <c r="H88" i="6" s="1"/>
  <c r="M27" i="6"/>
  <c r="I88" i="6" s="1"/>
  <c r="Q28" i="10"/>
  <c r="R28" i="10" s="1"/>
  <c r="O28" i="10"/>
  <c r="P28" i="10" s="1"/>
  <c r="F28" i="6"/>
  <c r="G28" i="6"/>
  <c r="H28" i="6"/>
  <c r="I28" i="6"/>
  <c r="J28" i="6"/>
  <c r="F89" i="6" s="1"/>
  <c r="K28" i="6"/>
  <c r="G89" i="6" s="1"/>
  <c r="L28" i="6"/>
  <c r="M28" i="6"/>
  <c r="I89" i="6" s="1"/>
  <c r="Q29" i="10"/>
  <c r="R29" i="10" s="1"/>
  <c r="O29" i="10"/>
  <c r="P29" i="10" s="1"/>
  <c r="F29" i="6"/>
  <c r="B90" i="6" s="1"/>
  <c r="G29" i="6"/>
  <c r="H29" i="6"/>
  <c r="D90" i="6" s="1"/>
  <c r="I29" i="6"/>
  <c r="E90" i="6" s="1"/>
  <c r="J29" i="6"/>
  <c r="F90" i="6" s="1"/>
  <c r="K29" i="6"/>
  <c r="G90" i="6" s="1"/>
  <c r="L29" i="6"/>
  <c r="H90" i="6" s="1"/>
  <c r="M29" i="6"/>
  <c r="I90" i="6" s="1"/>
  <c r="Q30" i="10"/>
  <c r="R30" i="10" s="1"/>
  <c r="O30" i="10"/>
  <c r="P30" i="10" s="1"/>
  <c r="F30" i="6"/>
  <c r="B91" i="6" s="1"/>
  <c r="G30" i="6"/>
  <c r="H30" i="6"/>
  <c r="D91" i="6" s="1"/>
  <c r="I30" i="6"/>
  <c r="E91" i="6" s="1"/>
  <c r="J30" i="6"/>
  <c r="F91" i="6" s="1"/>
  <c r="K30" i="6"/>
  <c r="G91" i="6" s="1"/>
  <c r="L30" i="6"/>
  <c r="H91" i="6" s="1"/>
  <c r="M30" i="6"/>
  <c r="I91" i="6" s="1"/>
  <c r="Q31" i="10"/>
  <c r="R31" i="10" s="1"/>
  <c r="O31" i="10"/>
  <c r="P31" i="10" s="1"/>
  <c r="F31" i="6"/>
  <c r="B92" i="6" s="1"/>
  <c r="G31" i="6"/>
  <c r="H31" i="6"/>
  <c r="D92" i="6" s="1"/>
  <c r="I31" i="6"/>
  <c r="E92" i="6" s="1"/>
  <c r="J31" i="6"/>
  <c r="F92" i="6" s="1"/>
  <c r="K31" i="6"/>
  <c r="G92" i="6" s="1"/>
  <c r="L31" i="6"/>
  <c r="H92" i="6" s="1"/>
  <c r="M31" i="6"/>
  <c r="I92" i="6" s="1"/>
  <c r="Q32" i="10"/>
  <c r="R32" i="10" s="1"/>
  <c r="O32" i="10"/>
  <c r="P32" i="10" s="1"/>
  <c r="F32" i="6"/>
  <c r="G32" i="6"/>
  <c r="H32" i="6"/>
  <c r="I32" i="6"/>
  <c r="J32" i="6"/>
  <c r="F93" i="6" s="1"/>
  <c r="K32" i="6"/>
  <c r="G93" i="6" s="1"/>
  <c r="L32" i="6"/>
  <c r="M32" i="6"/>
  <c r="I93" i="6" s="1"/>
  <c r="F20" i="7"/>
  <c r="E24" i="7"/>
  <c r="Q33" i="10"/>
  <c r="O33" i="10"/>
  <c r="P33" i="10" s="1"/>
  <c r="F33" i="6"/>
  <c r="B94" i="6" s="1"/>
  <c r="G33" i="6"/>
  <c r="H33" i="6"/>
  <c r="D94" i="6" s="1"/>
  <c r="I33" i="6"/>
  <c r="E94" i="6" s="1"/>
  <c r="J33" i="6"/>
  <c r="F94" i="6" s="1"/>
  <c r="K33" i="6"/>
  <c r="G94" i="6" s="1"/>
  <c r="L33" i="6"/>
  <c r="H94" i="6" s="1"/>
  <c r="M33" i="6"/>
  <c r="I94" i="6" s="1"/>
  <c r="Q34" i="10"/>
  <c r="R34" i="10" s="1"/>
  <c r="O34" i="10"/>
  <c r="P34" i="10" s="1"/>
  <c r="P8" i="10"/>
  <c r="R8" i="10"/>
  <c r="N8" i="6"/>
  <c r="P8" i="6"/>
  <c r="E37" i="14"/>
  <c r="K37" i="14"/>
  <c r="G45" i="14"/>
  <c r="O45" i="14"/>
  <c r="J67" i="10"/>
  <c r="G37" i="14"/>
  <c r="M37" i="14"/>
  <c r="M45" i="14"/>
  <c r="G41" i="14"/>
  <c r="J63" i="10"/>
  <c r="C37" i="14"/>
  <c r="I37" i="14"/>
  <c r="O37" i="14"/>
  <c r="K41" i="14"/>
  <c r="I45" i="14"/>
  <c r="M41" i="14"/>
  <c r="J64" i="10"/>
  <c r="C41" i="14"/>
  <c r="E41" i="14"/>
  <c r="I41" i="14"/>
  <c r="O41" i="14"/>
  <c r="C45" i="14"/>
  <c r="E45" i="14"/>
  <c r="K45" i="14"/>
  <c r="R40" i="10" l="1"/>
  <c r="P40" i="10"/>
  <c r="R44" i="10"/>
  <c r="P44" i="10"/>
  <c r="C95" i="6"/>
  <c r="R34" i="6"/>
  <c r="R35" i="6"/>
  <c r="C96" i="6"/>
  <c r="C120" i="6"/>
  <c r="R36" i="6"/>
  <c r="C97" i="6"/>
  <c r="E120" i="6"/>
  <c r="E97" i="6"/>
  <c r="F120" i="6"/>
  <c r="H97" i="6"/>
  <c r="D120" i="6"/>
  <c r="D97" i="6"/>
  <c r="B120" i="6"/>
  <c r="B97" i="6"/>
  <c r="R37" i="6"/>
  <c r="C98" i="6"/>
  <c r="R38" i="6"/>
  <c r="C99" i="6"/>
  <c r="R39" i="6"/>
  <c r="C100" i="6"/>
  <c r="B121" i="6"/>
  <c r="B101" i="6"/>
  <c r="C121" i="6"/>
  <c r="G121" i="6" s="1"/>
  <c r="R40" i="6"/>
  <c r="C101" i="6"/>
  <c r="D121" i="6"/>
  <c r="D101" i="6"/>
  <c r="E121" i="6"/>
  <c r="E101" i="6"/>
  <c r="F121" i="6"/>
  <c r="H121" i="6" s="1"/>
  <c r="H101" i="6"/>
  <c r="R41" i="6"/>
  <c r="C102" i="6"/>
  <c r="R42" i="6"/>
  <c r="C103" i="6"/>
  <c r="R43" i="6"/>
  <c r="C104" i="6"/>
  <c r="B122" i="6"/>
  <c r="B105" i="6"/>
  <c r="C122" i="6"/>
  <c r="G122" i="6" s="1"/>
  <c r="R44" i="6"/>
  <c r="C105" i="6"/>
  <c r="D122" i="6"/>
  <c r="D105" i="6"/>
  <c r="E122" i="6"/>
  <c r="E105" i="6"/>
  <c r="F122" i="6"/>
  <c r="H122" i="6" s="1"/>
  <c r="H105" i="6"/>
  <c r="R45" i="6"/>
  <c r="C106" i="6"/>
  <c r="R46" i="6"/>
  <c r="C107" i="6"/>
  <c r="R47" i="6"/>
  <c r="C108" i="6"/>
  <c r="N6" i="9"/>
  <c r="O6" i="9"/>
  <c r="N7" i="9"/>
  <c r="O7" i="9"/>
  <c r="N8" i="9"/>
  <c r="O8" i="9"/>
  <c r="N10" i="9"/>
  <c r="O10" i="9"/>
  <c r="N11" i="9"/>
  <c r="O11" i="9"/>
  <c r="N12" i="9"/>
  <c r="O12" i="9"/>
  <c r="N14" i="9"/>
  <c r="O14" i="9"/>
  <c r="N15" i="9"/>
  <c r="O15" i="9"/>
  <c r="N16" i="9"/>
  <c r="O16" i="9"/>
  <c r="N18" i="9"/>
  <c r="O18" i="9"/>
  <c r="N19" i="9"/>
  <c r="O19" i="9"/>
  <c r="N20" i="9"/>
  <c r="O20" i="9"/>
  <c r="N22" i="9"/>
  <c r="O22" i="9"/>
  <c r="N23" i="9"/>
  <c r="O23" i="9"/>
  <c r="N24" i="9"/>
  <c r="O24" i="9"/>
  <c r="N26" i="9"/>
  <c r="O26" i="9"/>
  <c r="N27" i="9"/>
  <c r="O27" i="9"/>
  <c r="N28" i="9"/>
  <c r="O28" i="9"/>
  <c r="N30" i="9"/>
  <c r="O30" i="9"/>
  <c r="N31" i="9"/>
  <c r="O31" i="9"/>
  <c r="N32" i="9"/>
  <c r="O32" i="9"/>
  <c r="E6" i="5"/>
  <c r="O8" i="6"/>
  <c r="Q8" i="6"/>
  <c r="B113" i="6"/>
  <c r="B69" i="6"/>
  <c r="F48" i="6"/>
  <c r="B53" i="6" s="1"/>
  <c r="B61" i="6"/>
  <c r="C113" i="6"/>
  <c r="G113" i="6" s="1"/>
  <c r="R8" i="6"/>
  <c r="C69" i="6"/>
  <c r="G48" i="6"/>
  <c r="C53" i="6" s="1"/>
  <c r="C61" i="6"/>
  <c r="D113" i="6"/>
  <c r="D69" i="6"/>
  <c r="H48" i="6"/>
  <c r="D53" i="6" s="1"/>
  <c r="D61" i="6"/>
  <c r="E113" i="6"/>
  <c r="E69" i="6"/>
  <c r="I48" i="6"/>
  <c r="E53" i="6" s="1"/>
  <c r="E61" i="6"/>
  <c r="F69" i="6"/>
  <c r="F62" i="6" s="1"/>
  <c r="J48" i="6"/>
  <c r="F53" i="6" s="1"/>
  <c r="F61" i="6"/>
  <c r="G69" i="6"/>
  <c r="G62" i="6" s="1"/>
  <c r="K48" i="6"/>
  <c r="G53" i="6" s="1"/>
  <c r="G61" i="6"/>
  <c r="F113" i="6"/>
  <c r="H113" i="6" s="1"/>
  <c r="H69" i="6"/>
  <c r="L48" i="6"/>
  <c r="H53" i="6" s="1"/>
  <c r="H61" i="6"/>
  <c r="I61" i="6"/>
  <c r="I69" i="6"/>
  <c r="I62" i="6" s="1"/>
  <c r="M48" i="6"/>
  <c r="I53" i="6" s="1"/>
  <c r="Q9" i="10"/>
  <c r="O9" i="10"/>
  <c r="I49" i="10"/>
  <c r="R9" i="6"/>
  <c r="C70" i="6"/>
  <c r="R10" i="6"/>
  <c r="C71" i="6"/>
  <c r="R11" i="6"/>
  <c r="C72" i="6"/>
  <c r="B114" i="6"/>
  <c r="B73" i="6"/>
  <c r="C114" i="6"/>
  <c r="G114" i="6" s="1"/>
  <c r="R12" i="6"/>
  <c r="C73" i="6"/>
  <c r="D114" i="6"/>
  <c r="D73" i="6"/>
  <c r="E114" i="6"/>
  <c r="E73" i="6"/>
  <c r="F114" i="6"/>
  <c r="H114" i="6" s="1"/>
  <c r="H73" i="6"/>
  <c r="R13" i="6"/>
  <c r="C74" i="6"/>
  <c r="R14" i="6"/>
  <c r="C75" i="6"/>
  <c r="R15" i="6"/>
  <c r="C76" i="6"/>
  <c r="B115" i="6"/>
  <c r="B77" i="6"/>
  <c r="C115" i="6"/>
  <c r="G115" i="6" s="1"/>
  <c r="R16" i="6"/>
  <c r="C77" i="6"/>
  <c r="D115" i="6"/>
  <c r="D77" i="6"/>
  <c r="E115" i="6"/>
  <c r="E77" i="6"/>
  <c r="F115" i="6"/>
  <c r="H115" i="6" s="1"/>
  <c r="H77" i="6"/>
  <c r="R17" i="6"/>
  <c r="C78" i="6"/>
  <c r="R18" i="6"/>
  <c r="C79" i="6"/>
  <c r="R19" i="6"/>
  <c r="C80" i="6"/>
  <c r="B116" i="6"/>
  <c r="B81" i="6"/>
  <c r="C116" i="6"/>
  <c r="G116" i="6" s="1"/>
  <c r="R20" i="6"/>
  <c r="C81" i="6"/>
  <c r="D116" i="6"/>
  <c r="D81" i="6"/>
  <c r="E116" i="6"/>
  <c r="E81" i="6"/>
  <c r="F116" i="6"/>
  <c r="H116" i="6" s="1"/>
  <c r="H81" i="6"/>
  <c r="R21" i="6"/>
  <c r="C82" i="6"/>
  <c r="R22" i="6"/>
  <c r="C83" i="6"/>
  <c r="R23" i="6"/>
  <c r="C84" i="6"/>
  <c r="B117" i="6"/>
  <c r="B85" i="6"/>
  <c r="C117" i="6"/>
  <c r="G117" i="6" s="1"/>
  <c r="R24" i="6"/>
  <c r="C85" i="6"/>
  <c r="D117" i="6"/>
  <c r="D85" i="6"/>
  <c r="E117" i="6"/>
  <c r="E85" i="6"/>
  <c r="F117" i="6"/>
  <c r="H85" i="6"/>
  <c r="R25" i="6"/>
  <c r="C86" i="6"/>
  <c r="R26" i="6"/>
  <c r="C87" i="6"/>
  <c r="R27" i="6"/>
  <c r="C88" i="6"/>
  <c r="B118" i="6"/>
  <c r="B89" i="6"/>
  <c r="C118" i="6"/>
  <c r="G118" i="6" s="1"/>
  <c r="R28" i="6"/>
  <c r="C89" i="6"/>
  <c r="D118" i="6"/>
  <c r="D89" i="6"/>
  <c r="E118" i="6"/>
  <c r="E89" i="6"/>
  <c r="F118" i="6"/>
  <c r="H118" i="6" s="1"/>
  <c r="H89" i="6"/>
  <c r="R29" i="6"/>
  <c r="C90" i="6"/>
  <c r="R30" i="6"/>
  <c r="C91" i="6"/>
  <c r="R31" i="6"/>
  <c r="C92" i="6"/>
  <c r="B119" i="6"/>
  <c r="B93" i="6"/>
  <c r="C119" i="6"/>
  <c r="G119" i="6" s="1"/>
  <c r="R32" i="6"/>
  <c r="C93" i="6"/>
  <c r="D119" i="6"/>
  <c r="D93" i="6"/>
  <c r="E119" i="6"/>
  <c r="E93" i="6"/>
  <c r="F119" i="6"/>
  <c r="H119" i="6" s="1"/>
  <c r="H93" i="6"/>
  <c r="K33" i="14"/>
  <c r="C33" i="14"/>
  <c r="O33" i="14"/>
  <c r="I33" i="14"/>
  <c r="E33" i="14"/>
  <c r="M33" i="14"/>
  <c r="G33" i="14"/>
  <c r="M36" i="10"/>
  <c r="N36" i="10" s="1"/>
  <c r="G20" i="7"/>
  <c r="I20" i="7"/>
  <c r="J20" i="7" s="1"/>
  <c r="I5" i="9"/>
  <c r="K5" i="9" s="1"/>
  <c r="I9" i="9"/>
  <c r="K9" i="9" s="1"/>
  <c r="I13" i="9"/>
  <c r="K13" i="9" s="1"/>
  <c r="I17" i="9"/>
  <c r="K17" i="9" s="1"/>
  <c r="I21" i="9"/>
  <c r="K21" i="9" s="1"/>
  <c r="I25" i="9"/>
  <c r="K25" i="9" s="1"/>
  <c r="I29" i="9"/>
  <c r="K29" i="9" s="1"/>
  <c r="F24" i="7"/>
  <c r="F25" i="7" s="1"/>
  <c r="B54" i="10"/>
  <c r="R33" i="10"/>
  <c r="R33" i="6"/>
  <c r="C94" i="6"/>
  <c r="R48" i="10"/>
  <c r="P48" i="10"/>
  <c r="F6" i="5" l="1"/>
  <c r="D9" i="6"/>
  <c r="B54" i="6"/>
  <c r="B55" i="6"/>
  <c r="C54" i="6"/>
  <c r="C55" i="6"/>
  <c r="D54" i="6"/>
  <c r="D55" i="6"/>
  <c r="E54" i="6"/>
  <c r="E55" i="6"/>
  <c r="F54" i="6"/>
  <c r="F55" i="6"/>
  <c r="G54" i="6"/>
  <c r="G55" i="6"/>
  <c r="H54" i="6"/>
  <c r="H55" i="6"/>
  <c r="I54" i="6"/>
  <c r="I55" i="6"/>
  <c r="Q49" i="10"/>
  <c r="B55" i="10"/>
  <c r="B53" i="10"/>
  <c r="B56" i="10"/>
  <c r="R9" i="10"/>
  <c r="O49" i="10"/>
  <c r="P9" i="10"/>
  <c r="P36" i="10"/>
  <c r="R36" i="10"/>
  <c r="C54" i="10" s="1"/>
  <c r="D54" i="10" s="1"/>
  <c r="N49" i="10"/>
  <c r="C57" i="10"/>
  <c r="D57" i="10" s="1"/>
  <c r="O5" i="9"/>
  <c r="N5" i="9"/>
  <c r="O9" i="9"/>
  <c r="N9" i="9"/>
  <c r="O13" i="9"/>
  <c r="N13" i="9"/>
  <c r="O17" i="9"/>
  <c r="N17" i="9"/>
  <c r="O21" i="9"/>
  <c r="N21" i="9"/>
  <c r="O25" i="9"/>
  <c r="N25" i="9"/>
  <c r="O29" i="9"/>
  <c r="N29" i="9"/>
  <c r="G120" i="6"/>
  <c r="H120" i="6"/>
  <c r="H62" i="6"/>
  <c r="B62" i="6"/>
  <c r="C62" i="6"/>
  <c r="D62" i="6"/>
  <c r="E62" i="6"/>
  <c r="H117" i="6"/>
  <c r="I67" i="10"/>
  <c r="L67" i="10" s="1"/>
  <c r="N67" i="10"/>
  <c r="F67" i="10"/>
  <c r="G67" i="10" s="1"/>
  <c r="P67" i="10"/>
  <c r="I63" i="10"/>
  <c r="L63" i="10" s="1"/>
  <c r="N63" i="10"/>
  <c r="P63" i="10"/>
  <c r="F63" i="10"/>
  <c r="G63" i="10" s="1"/>
  <c r="I69" i="10"/>
  <c r="L69" i="10" s="1"/>
  <c r="N69" i="10"/>
  <c r="P69" i="10"/>
  <c r="F69" i="10"/>
  <c r="G69" i="10" s="1"/>
  <c r="I66" i="10"/>
  <c r="L66" i="10" s="1"/>
  <c r="N66" i="10"/>
  <c r="F66" i="10"/>
  <c r="G66" i="10" s="1"/>
  <c r="P66" i="10"/>
  <c r="I64" i="10"/>
  <c r="L64" i="10" s="1"/>
  <c r="N64" i="10"/>
  <c r="F64" i="10"/>
  <c r="G64" i="10" s="1"/>
  <c r="P64" i="10"/>
  <c r="I68" i="10"/>
  <c r="L68" i="10" s="1"/>
  <c r="N68" i="10"/>
  <c r="F68" i="10"/>
  <c r="G68" i="10" s="1"/>
  <c r="P68" i="10"/>
  <c r="I65" i="10"/>
  <c r="L65" i="10" s="1"/>
  <c r="N65" i="10"/>
  <c r="F65" i="10"/>
  <c r="G65" i="10" s="1"/>
  <c r="P65" i="10"/>
  <c r="G6" i="5" l="1"/>
  <c r="C7" i="5" s="1"/>
  <c r="E9" i="6"/>
  <c r="N9" i="6"/>
  <c r="P9" i="6"/>
  <c r="C55" i="10"/>
  <c r="D55" i="10" s="1"/>
  <c r="R49" i="10"/>
  <c r="C56" i="10"/>
  <c r="D56" i="10" s="1"/>
  <c r="C53" i="10"/>
  <c r="D53" i="10" s="1"/>
  <c r="P49" i="10"/>
  <c r="E7" i="5" l="1"/>
  <c r="Q9" i="6"/>
  <c r="O9" i="6"/>
  <c r="F7" i="5" l="1"/>
  <c r="D10" i="6"/>
  <c r="G7" i="5" l="1"/>
  <c r="C8" i="5" s="1"/>
  <c r="E10" i="6"/>
  <c r="N10" i="6"/>
  <c r="P10" i="6"/>
  <c r="E8" i="5" l="1"/>
  <c r="Q10" i="6"/>
  <c r="O10" i="6"/>
  <c r="F8" i="5" l="1"/>
  <c r="D11" i="6"/>
  <c r="G8" i="5" l="1"/>
  <c r="C9" i="5" s="1"/>
  <c r="E11" i="6"/>
  <c r="N11" i="6"/>
  <c r="P11" i="6"/>
  <c r="E9" i="5" l="1"/>
  <c r="Q11" i="6"/>
  <c r="O11" i="6"/>
  <c r="F9" i="5" l="1"/>
  <c r="D12" i="6"/>
  <c r="G9" i="5" l="1"/>
  <c r="C10" i="5" s="1"/>
  <c r="E12" i="6"/>
  <c r="N12" i="6"/>
  <c r="P12" i="6"/>
  <c r="E10" i="5" l="1"/>
  <c r="Q12" i="6"/>
  <c r="O12" i="6"/>
  <c r="F10" i="5" l="1"/>
  <c r="D13" i="6"/>
  <c r="G10" i="5" l="1"/>
  <c r="C11" i="5" s="1"/>
  <c r="E13" i="6"/>
  <c r="N13" i="6"/>
  <c r="P13" i="6"/>
  <c r="E11" i="5" l="1"/>
  <c r="Q13" i="6"/>
  <c r="O13" i="6"/>
  <c r="F11" i="5" l="1"/>
  <c r="D14" i="6"/>
  <c r="G11" i="5" l="1"/>
  <c r="C12" i="5" s="1"/>
  <c r="E14" i="6"/>
  <c r="N14" i="6"/>
  <c r="P14" i="6"/>
  <c r="E12" i="5" l="1"/>
  <c r="Q14" i="6"/>
  <c r="O14" i="6"/>
  <c r="F12" i="5" l="1"/>
  <c r="D15" i="6"/>
  <c r="G12" i="5" l="1"/>
  <c r="C13" i="5" s="1"/>
  <c r="E15" i="6"/>
  <c r="N15" i="6"/>
  <c r="P15" i="6"/>
  <c r="E13" i="5" l="1"/>
  <c r="Q15" i="6"/>
  <c r="O15" i="6"/>
  <c r="F13" i="5" l="1"/>
  <c r="D16" i="6"/>
  <c r="G13" i="5" l="1"/>
  <c r="C14" i="5" s="1"/>
  <c r="E16" i="6"/>
  <c r="N16" i="6"/>
  <c r="P16" i="6"/>
  <c r="E14" i="5" l="1"/>
  <c r="Q16" i="6"/>
  <c r="O16" i="6"/>
  <c r="F14" i="5" l="1"/>
  <c r="D17" i="6"/>
  <c r="G14" i="5" l="1"/>
  <c r="C15" i="5" s="1"/>
  <c r="E17" i="6"/>
  <c r="N17" i="6"/>
  <c r="P17" i="6"/>
  <c r="E15" i="5" l="1"/>
  <c r="Q17" i="6"/>
  <c r="O17" i="6"/>
  <c r="F15" i="5" l="1"/>
  <c r="D18" i="6"/>
  <c r="G15" i="5" l="1"/>
  <c r="C16" i="5" s="1"/>
  <c r="E18" i="6"/>
  <c r="N18" i="6"/>
  <c r="P18" i="6"/>
  <c r="E16" i="5" l="1"/>
  <c r="Q18" i="6"/>
  <c r="O18" i="6"/>
  <c r="F16" i="5" l="1"/>
  <c r="D19" i="6"/>
  <c r="G16" i="5" l="1"/>
  <c r="C17" i="5" s="1"/>
  <c r="E19" i="6"/>
  <c r="N19" i="6"/>
  <c r="P19" i="6"/>
  <c r="E17" i="5" l="1"/>
  <c r="Q19" i="6"/>
  <c r="O19" i="6"/>
  <c r="F17" i="5" l="1"/>
  <c r="D20" i="6"/>
  <c r="G17" i="5" l="1"/>
  <c r="C18" i="5" s="1"/>
  <c r="E20" i="6"/>
  <c r="N20" i="6"/>
  <c r="P20" i="6"/>
  <c r="E18" i="5" l="1"/>
  <c r="Q20" i="6"/>
  <c r="O20" i="6"/>
  <c r="F18" i="5" l="1"/>
  <c r="D21" i="6"/>
  <c r="G18" i="5" l="1"/>
  <c r="C19" i="5" s="1"/>
  <c r="E21" i="6"/>
  <c r="N21" i="6"/>
  <c r="P21" i="6"/>
  <c r="E19" i="5" l="1"/>
  <c r="Q21" i="6"/>
  <c r="O21" i="6"/>
  <c r="F19" i="5" l="1"/>
  <c r="D22" i="6"/>
  <c r="G19" i="5" l="1"/>
  <c r="C20" i="5" s="1"/>
  <c r="E22" i="6"/>
  <c r="N22" i="6"/>
  <c r="P22" i="6"/>
  <c r="E20" i="5" l="1"/>
  <c r="Q22" i="6"/>
  <c r="O22" i="6"/>
  <c r="F20" i="5" l="1"/>
  <c r="D23" i="6"/>
  <c r="G20" i="5" l="1"/>
  <c r="C21" i="5" s="1"/>
  <c r="E23" i="6"/>
  <c r="N23" i="6"/>
  <c r="P23" i="6"/>
  <c r="E21" i="5" l="1"/>
  <c r="Q23" i="6"/>
  <c r="O23" i="6"/>
  <c r="F21" i="5" l="1"/>
  <c r="D24" i="6"/>
  <c r="G21" i="5" l="1"/>
  <c r="C22" i="5" s="1"/>
  <c r="E24" i="6"/>
  <c r="N24" i="6"/>
  <c r="P24" i="6"/>
  <c r="E22" i="5" l="1"/>
  <c r="Q24" i="6"/>
  <c r="O24" i="6"/>
  <c r="F22" i="5" l="1"/>
  <c r="D25" i="6"/>
  <c r="G22" i="5" l="1"/>
  <c r="C23" i="5" s="1"/>
  <c r="E25" i="6"/>
  <c r="N25" i="6"/>
  <c r="P25" i="6"/>
  <c r="E23" i="5" l="1"/>
  <c r="Q25" i="6"/>
  <c r="O25" i="6"/>
  <c r="F23" i="5" l="1"/>
  <c r="D26" i="6"/>
  <c r="G23" i="5" l="1"/>
  <c r="C24" i="5" s="1"/>
  <c r="E26" i="6"/>
  <c r="N26" i="6"/>
  <c r="P26" i="6"/>
  <c r="E24" i="5" l="1"/>
  <c r="Q26" i="6"/>
  <c r="O26" i="6"/>
  <c r="F24" i="5" l="1"/>
  <c r="D27" i="6"/>
  <c r="G24" i="5" l="1"/>
  <c r="C25" i="5" s="1"/>
  <c r="E27" i="6"/>
  <c r="N27" i="6"/>
  <c r="P27" i="6"/>
  <c r="E25" i="5" l="1"/>
  <c r="Q27" i="6"/>
  <c r="O27" i="6"/>
  <c r="F25" i="5" l="1"/>
  <c r="D28" i="6"/>
  <c r="G25" i="5" l="1"/>
  <c r="C26" i="5" s="1"/>
  <c r="E28" i="6"/>
  <c r="N28" i="6"/>
  <c r="P28" i="6"/>
  <c r="E26" i="5" l="1"/>
  <c r="Q28" i="6"/>
  <c r="O28" i="6"/>
  <c r="F26" i="5" l="1"/>
  <c r="D29" i="6"/>
  <c r="G26" i="5" l="1"/>
  <c r="C27" i="5" s="1"/>
  <c r="E29" i="6"/>
  <c r="N29" i="6"/>
  <c r="P29" i="6"/>
  <c r="E27" i="5" l="1"/>
  <c r="Q29" i="6"/>
  <c r="O29" i="6"/>
  <c r="F27" i="5" l="1"/>
  <c r="D30" i="6"/>
  <c r="G27" i="5" l="1"/>
  <c r="C28" i="5" s="1"/>
  <c r="E30" i="6"/>
  <c r="N30" i="6"/>
  <c r="P30" i="6"/>
  <c r="E28" i="5" l="1"/>
  <c r="Q30" i="6"/>
  <c r="O30" i="6"/>
  <c r="F28" i="5" l="1"/>
  <c r="D31" i="6"/>
  <c r="G28" i="5" l="1"/>
  <c r="E31" i="6"/>
  <c r="N31" i="6"/>
  <c r="P31" i="6"/>
  <c r="C29" i="5" l="1"/>
  <c r="K20" i="7"/>
  <c r="Q31" i="6"/>
  <c r="O31" i="6"/>
  <c r="E29" i="5" l="1"/>
  <c r="F29" i="5" l="1"/>
  <c r="D32" i="6"/>
  <c r="G29" i="5" l="1"/>
  <c r="C30" i="5" s="1"/>
  <c r="E32" i="6"/>
  <c r="N32" i="6"/>
  <c r="P32" i="6"/>
  <c r="E30" i="5" l="1"/>
  <c r="Q32" i="6"/>
  <c r="O32" i="6"/>
  <c r="F30" i="5" l="1"/>
  <c r="D33" i="6"/>
  <c r="G30" i="5" l="1"/>
  <c r="C31" i="5" s="1"/>
  <c r="E33" i="6"/>
  <c r="N33" i="6"/>
  <c r="P33" i="6"/>
  <c r="E31" i="5" l="1"/>
  <c r="Q33" i="6"/>
  <c r="O33" i="6"/>
  <c r="F31" i="5" l="1"/>
  <c r="D34" i="6"/>
  <c r="G31" i="5" l="1"/>
  <c r="C32" i="5" s="1"/>
  <c r="E34" i="6"/>
  <c r="N34" i="6"/>
  <c r="P34" i="6"/>
  <c r="E32" i="5" l="1"/>
  <c r="Q34" i="6"/>
  <c r="O34" i="6"/>
  <c r="F32" i="5" l="1"/>
  <c r="D35" i="6"/>
  <c r="G32" i="5" l="1"/>
  <c r="E35" i="6"/>
  <c r="P35" i="6"/>
  <c r="N35" i="6"/>
  <c r="C33" i="5" l="1"/>
  <c r="K21" i="7"/>
  <c r="O35" i="6"/>
  <c r="Q35" i="6"/>
  <c r="E33" i="5" l="1"/>
  <c r="F33" i="5" l="1"/>
  <c r="D36" i="6"/>
  <c r="G33" i="5" l="1"/>
  <c r="C34" i="5" s="1"/>
  <c r="E36" i="6"/>
  <c r="P36" i="6"/>
  <c r="N36" i="6"/>
  <c r="E34" i="5" l="1"/>
  <c r="Q36" i="6"/>
  <c r="O36" i="6"/>
  <c r="F34" i="5" l="1"/>
  <c r="D37" i="6"/>
  <c r="G34" i="5" l="1"/>
  <c r="C35" i="5" s="1"/>
  <c r="E37" i="6"/>
  <c r="P37" i="6"/>
  <c r="N37" i="6"/>
  <c r="E35" i="5" l="1"/>
  <c r="Q37" i="6"/>
  <c r="O37" i="6"/>
  <c r="F35" i="5" l="1"/>
  <c r="D38" i="6"/>
  <c r="G35" i="5" l="1"/>
  <c r="C36" i="5" s="1"/>
  <c r="E38" i="6"/>
  <c r="N38" i="6"/>
  <c r="P38" i="6"/>
  <c r="E36" i="5" l="1"/>
  <c r="Q38" i="6"/>
  <c r="O38" i="6"/>
  <c r="F36" i="5" l="1"/>
  <c r="D39" i="6"/>
  <c r="G36" i="5" l="1"/>
  <c r="E39" i="6"/>
  <c r="N39" i="6"/>
  <c r="P39" i="6"/>
  <c r="C37" i="5" l="1"/>
  <c r="K22" i="7"/>
  <c r="Q39" i="6"/>
  <c r="O39" i="6"/>
  <c r="E37" i="5" l="1"/>
  <c r="F37" i="5" l="1"/>
  <c r="D40" i="6"/>
  <c r="G37" i="5" l="1"/>
  <c r="C38" i="5" s="1"/>
  <c r="E40" i="6"/>
  <c r="P40" i="6"/>
  <c r="N40" i="6"/>
  <c r="E38" i="5" l="1"/>
  <c r="Q40" i="6"/>
  <c r="O40" i="6"/>
  <c r="F38" i="5" l="1"/>
  <c r="D41" i="6"/>
  <c r="G38" i="5" l="1"/>
  <c r="C39" i="5" s="1"/>
  <c r="E41" i="6"/>
  <c r="N41" i="6"/>
  <c r="P41" i="6"/>
  <c r="E39" i="5" l="1"/>
  <c r="Q41" i="6"/>
  <c r="O41" i="6"/>
  <c r="F39" i="5" l="1"/>
  <c r="D42" i="6"/>
  <c r="G39" i="5" l="1"/>
  <c r="C40" i="5" s="1"/>
  <c r="E42" i="6"/>
  <c r="N42" i="6"/>
  <c r="P42" i="6"/>
  <c r="E40" i="5" l="1"/>
  <c r="Q42" i="6"/>
  <c r="O42" i="6"/>
  <c r="F40" i="5" l="1"/>
  <c r="D43" i="6"/>
  <c r="G40" i="5" l="1"/>
  <c r="E43" i="6"/>
  <c r="N43" i="6"/>
  <c r="P43" i="6"/>
  <c r="C41" i="5" l="1"/>
  <c r="K23" i="7"/>
  <c r="Q43" i="6"/>
  <c r="O43" i="6"/>
  <c r="E41" i="5" l="1"/>
  <c r="F41" i="5" l="1"/>
  <c r="D44" i="6"/>
  <c r="G41" i="5" l="1"/>
  <c r="C42" i="5" s="1"/>
  <c r="E44" i="6"/>
  <c r="N44" i="6"/>
  <c r="P44" i="6"/>
  <c r="E42" i="5" l="1"/>
  <c r="Q44" i="6"/>
  <c r="O44" i="6"/>
  <c r="F42" i="5" l="1"/>
  <c r="D45" i="6"/>
  <c r="G42" i="5" l="1"/>
  <c r="C43" i="5" s="1"/>
  <c r="E45" i="6"/>
  <c r="N45" i="6"/>
  <c r="P45" i="6"/>
  <c r="E43" i="5" l="1"/>
  <c r="Q45" i="6"/>
  <c r="O45" i="6"/>
  <c r="F43" i="5" l="1"/>
  <c r="D46" i="6"/>
  <c r="G43" i="5" l="1"/>
  <c r="C44" i="5" s="1"/>
  <c r="E46" i="6"/>
  <c r="N46" i="6"/>
  <c r="P46" i="6"/>
  <c r="E44" i="5" l="1"/>
  <c r="Q46" i="6"/>
  <c r="O46" i="6"/>
  <c r="E45" i="5" l="1"/>
  <c r="F44" i="5"/>
  <c r="D47" i="6"/>
  <c r="G44" i="5" l="1"/>
  <c r="G47" i="5" s="1"/>
  <c r="F45" i="5"/>
  <c r="G48" i="5" s="1"/>
  <c r="E47" i="6"/>
  <c r="I122" i="6"/>
  <c r="C58" i="6"/>
  <c r="D58" i="6"/>
  <c r="I58" i="6"/>
  <c r="F58" i="6"/>
  <c r="H58" i="6"/>
  <c r="B58" i="6"/>
  <c r="G58" i="6"/>
  <c r="E58" i="6"/>
  <c r="I121" i="6"/>
  <c r="I120" i="6"/>
  <c r="I119" i="6"/>
  <c r="I118" i="6"/>
  <c r="I117" i="6"/>
  <c r="I116" i="6"/>
  <c r="I115" i="6"/>
  <c r="I114" i="6"/>
  <c r="H57" i="6"/>
  <c r="I57" i="6"/>
  <c r="D48" i="6"/>
  <c r="F57" i="6"/>
  <c r="G57" i="6"/>
  <c r="B57" i="6"/>
  <c r="D57" i="6"/>
  <c r="I113" i="6"/>
  <c r="C57" i="6"/>
  <c r="E57" i="6"/>
  <c r="N47" i="6"/>
  <c r="N48" i="6" s="1"/>
  <c r="P47" i="6"/>
  <c r="P48" i="6" s="1"/>
  <c r="J122" i="6" l="1"/>
  <c r="D59" i="6"/>
  <c r="H59" i="6"/>
  <c r="B59" i="6"/>
  <c r="G59" i="6"/>
  <c r="E59" i="6"/>
  <c r="C59" i="6"/>
  <c r="I59" i="6"/>
  <c r="F59" i="6"/>
  <c r="J121" i="6"/>
  <c r="J120" i="6"/>
  <c r="J119" i="6"/>
  <c r="J118" i="6"/>
  <c r="J117" i="6"/>
  <c r="J116" i="6"/>
  <c r="J115" i="6"/>
  <c r="J114" i="6"/>
  <c r="F56" i="6"/>
  <c r="G56" i="6"/>
  <c r="E56" i="6"/>
  <c r="E48" i="6"/>
  <c r="C56" i="6"/>
  <c r="D56" i="6"/>
  <c r="B56" i="6"/>
  <c r="H56" i="6"/>
  <c r="I56" i="6"/>
  <c r="I60" i="6" s="1"/>
  <c r="J113" i="6"/>
  <c r="Q47" i="6"/>
  <c r="Q48" i="6" s="1"/>
  <c r="O47" i="6"/>
  <c r="O48" i="6" s="1"/>
  <c r="F60" i="6" l="1"/>
  <c r="B60" i="6"/>
  <c r="G60" i="6"/>
  <c r="E60" i="6"/>
  <c r="C60" i="6"/>
  <c r="D60" i="6"/>
  <c r="H60" i="6"/>
</calcChain>
</file>

<file path=xl/sharedStrings.xml><?xml version="1.0" encoding="utf-8"?>
<sst xmlns="http://schemas.openxmlformats.org/spreadsheetml/2006/main" count="700" uniqueCount="449">
  <si>
    <t>Crédito en USD para maquinaria amarilla – Supuestos</t>
  </si>
  <si>
    <t>Concepto</t>
  </si>
  <si>
    <t>Valor</t>
  </si>
  <si>
    <t>Fuente / nota</t>
  </si>
  <si>
    <t>Valor de la maquinaria (COP)</t>
  </si>
  <si>
    <t>Aporte inicial de los inversionistas (%)</t>
  </si>
  <si>
    <t>Aporte inicial (COP)</t>
  </si>
  <si>
    <t>Cálculo</t>
  </si>
  <si>
    <t>Monto a financiar (COP) – 90 %</t>
  </si>
  <si>
    <t>TRM (COP por USD)</t>
  </si>
  <si>
    <t>TRM vigente del 17 al 19 de oct. de 2026, certificada por la Superfinanciera; consultada el 18/10/2026 (ver fuentes abajo)</t>
  </si>
  <si>
    <t>Monto a financiar (USD)</t>
  </si>
  <si>
    <t>Plazo (años)</t>
  </si>
  <si>
    <t>Pagos por año</t>
  </si>
  <si>
    <t>Número de cuotas</t>
  </si>
  <si>
    <t>Tasa base: Prime Rate (% anual)</t>
  </si>
  <si>
    <t>7,00 % vigente desde el 17 de sept. de 2026 (Prime de U.S. Bank y WSJ Prime); ver fuentes abajo</t>
  </si>
  <si>
    <t>Margen máximo SBA 7(a) (puntos sobre Prime)</t>
  </si>
  <si>
    <t>Tope de Prime + 6,0 pp para préstamos de USD 50.001 a 250.000, igual para tasa fija y variable (ver fuentes abajo)</t>
  </si>
  <si>
    <t>Tasa nominal anual FIJA (Prime + margen)</t>
  </si>
  <si>
    <t>Cotización: tasa fija nominal anual, pagadera trimestre vencido. El tope se fija con el Prime vigente al aprobar el crédito y no cambia durante los 10 años</t>
  </si>
  <si>
    <t>Tasa trimestral (nominal anual / 4)</t>
  </si>
  <si>
    <t>Tasa efectiva anual equivalente</t>
  </si>
  <si>
    <t>Cálculo: (1 + i trimestral)^4 − 1</t>
  </si>
  <si>
    <t>Cuota trimestral constante (USD)</t>
  </si>
  <si>
    <t>Sistema francés: P·i / (1 − (1+i)^−n)</t>
  </si>
  <si>
    <t>Total pagado en el plazo (USD)</t>
  </si>
  <si>
    <t>Total de intereses (USD)</t>
  </si>
  <si>
    <t>Fuentes, fecha de consulta y forma de cotización</t>
  </si>
  <si>
    <t>Dato</t>
  </si>
  <si>
    <t>Fuente (URL)</t>
  </si>
  <si>
    <t>Fecha de consulta</t>
  </si>
  <si>
    <t>Forma de cotización</t>
  </si>
  <si>
    <t>Prime Rate</t>
  </si>
  <si>
    <t>7,00 %</t>
  </si>
  <si>
    <t>https://primerates.com/prime-rate-rises-7-percent-fed-first-hike-since-july-2023/ ; https://s203.q4cdn.com/711684571/files/doc_news/U-S--Bank-Increases-Prime-Lending-Rate-to-7-00-Percent-2026.pdf</t>
  </si>
  <si>
    <t>Tasa base anual; vigente desde el 17/09/2026 (antes 6,75 %). Cambia cuando la Fed mueve su tasa</t>
  </si>
  <si>
    <t>Tope SBA 7(a), préstamos de USD 50.001 a 250.000</t>
  </si>
  <si>
    <t>Prime + 6,0 % (13,00 % con Prime de 7 %)</t>
  </si>
  <si>
    <t>https://www.sba.gov/es/node/8664 (Terms, conditions, and eligibility) ; https://www.nerdwallet.com/article/small-business/sba-loan-rates (topes fijos y variables, act. 16/09/2026)</t>
  </si>
  <si>
    <t>Tope regulatorio de la SBA; el banco puede cotizar por debajo. Tasa fija o variable</t>
  </si>
  <si>
    <t>TRM COP/USD</t>
  </si>
  <si>
    <t>3.174,67</t>
  </si>
  <si>
    <t>https://dolar.wilkinsonpc.com.co/ (reproduce la TRM certificada por la Superfinanciera; verificar en https://www.superfinanciera.gov.co)</t>
  </si>
  <si>
    <t>COP por 1 USD; vigente del 17 al 19 de oct. de 2026</t>
  </si>
  <si>
    <t>SOFR (referencia, no usada en el cálculo)</t>
  </si>
  <si>
    <t>3,89 % (15/10/2026)</t>
  </si>
  <si>
    <t>https://fred.stlouisfed.org/series/SOFR</t>
  </si>
  <si>
    <t>Tasa overnight publicada por la NY Fed; promedio de 30 días: 3,87449 % (16/10/2026)</t>
  </si>
  <si>
    <t>Comisión de garantía SBA 7(a), año fiscal 2027</t>
  </si>
  <si>
    <t>2 % de la parte garantizada (85 %)</t>
  </si>
  <si>
    <t>https://colemanreport.com/sba-hot-topic-tuesday-grocery-manufacturing-and-rural-businesses-get-new-fy-2027-fee-relief/ ; https://www.nerdwallet.com/business/loans/learn/sba-7a-loan (garantía de 85 % hasta USD 150.000)</t>
  </si>
  <si>
    <t>Pago único al desembolso para préstamos de USD 150.000 o menos aprobados entre el 01/10/2026 y el 30/09/2027</t>
  </si>
  <si>
    <t>Tasa SBA 504, debenture de 10 años</t>
  </si>
  <si>
    <t>6,60 % (venta del 10/09/2026)</t>
  </si>
  <si>
    <t>https://www.crowdfundedwealth.com/articles/sba-504-loan-rates-2026 (datos de SomerCor CDC)</t>
  </si>
  <si>
    <t>Tasa fija efectiva con comisiones incluidas; solo cubre el 40 % del proyecto</t>
  </si>
  <si>
    <t>Entidad prestamista: U.S. Bank</t>
  </si>
  <si>
    <t>SBA 7(a) y 504; sin cargos propios de procesamiento</t>
  </si>
  <si>
    <t>https://www.usbank.com/business-banking/business-lending/sba-loans.html ; https://www.usbank.com/about-us-bank/news-and-stories/article-library/us-bank-boosts-sba-lending-to-a-record-943-million-in-7a-loans.html</t>
  </si>
  <si>
    <t>7(a) para equipo hasta 10 años, con opción de tasa fija o variable</t>
  </si>
  <si>
    <t>Requisito de propiedad de la SBA</t>
  </si>
  <si>
    <t>100 % de dueños ciudadanos o nacionales de EE. UU.</t>
  </si>
  <si>
    <t>https://www.naggl.org/procedural-notice-revising-sop-50-10-8-for-new-citizenship-and-residency-requirements/</t>
  </si>
  <si>
    <t>Aviso 5000-876626, vigente desde el 01/03/2026 para 7(a) y 504</t>
  </si>
  <si>
    <t>Fuente / cálculo</t>
  </si>
  <si>
    <t>Hoja Supuestos</t>
  </si>
  <si>
    <t>Tabla de amortización – Sistema francés, cuotas trimestrales constantes (USD)</t>
  </si>
  <si>
    <t>Todos los valores se calculan con las celdas de la hoja Supuestos.</t>
  </si>
  <si>
    <t>Trimestre</t>
  </si>
  <si>
    <t>Año</t>
  </si>
  <si>
    <t>Saldo inicial (USD)</t>
  </si>
  <si>
    <t>Cuota (USD)</t>
  </si>
  <si>
    <t>Interés (USD)</t>
  </si>
  <si>
    <t>Abono a capital (USD)</t>
  </si>
  <si>
    <t>Saldo final (USD)</t>
  </si>
  <si>
    <t>Total</t>
  </si>
  <si>
    <t>A.3 Conversión del crédito a pesos colombianos</t>
  </si>
  <si>
    <t>Cada cuota en USD (constante) se multiplica por la TRM de su trimestre. Primero con la TRM spot de la fecha de valoración y luego con las trayectorias de la hoja «Trayectorias TRM».</t>
  </si>
  <si>
    <t>TRM spot (fecha de valoración)</t>
  </si>
  <si>
    <t>Cuota trimestral (USD)</t>
  </si>
  <si>
    <t>Monto recibido (COP)</t>
  </si>
  <si>
    <t>Cuota USD</t>
  </si>
  <si>
    <t>Interés USD</t>
  </si>
  <si>
    <t>Abono capital USD</t>
  </si>
  <si>
    <t>Cuota COP – spot</t>
  </si>
  <si>
    <t>Cuota COP – base</t>
  </si>
  <si>
    <t>Cuota COP – peso fuerte</t>
  </si>
  <si>
    <t>Cuota COP – peso débil</t>
  </si>
  <si>
    <t>Cuota COP – sim. P5</t>
  </si>
  <si>
    <t>Cuota COP – sim. P50</t>
  </si>
  <si>
    <t>Cuota COP – sim. P95</t>
  </si>
  <si>
    <t>Cuota COP – sim. media</t>
  </si>
  <si>
    <t>Base: interés a TRM spot</t>
  </si>
  <si>
    <t>Base: capital a TRM spot</t>
  </si>
  <si>
    <t>Base: efecto cambiario sobre interés</t>
  </si>
  <si>
    <t>Base: efecto cambiario sobre capital</t>
  </si>
  <si>
    <t>Cambio de la cuota base vs trimestre anterior</t>
  </si>
  <si>
    <t>Resumen del costo en pesos por trayectoria</t>
  </si>
  <si>
    <t>TRM spot</t>
  </si>
  <si>
    <t>Escenario base</t>
  </si>
  <si>
    <t>Peso fuerte</t>
  </si>
  <si>
    <t>Peso débil</t>
  </si>
  <si>
    <t>Simulación P5</t>
  </si>
  <si>
    <t>Simulación P50</t>
  </si>
  <si>
    <t>Simulación P95</t>
  </si>
  <si>
    <t>Simulación media</t>
  </si>
  <si>
    <t>Total pagado (COP)</t>
  </si>
  <si>
    <t>Diferencia frente a TRM spot (COP)</t>
  </si>
  <si>
    <t>Diferencia frente a TRM spot (%)</t>
  </si>
  <si>
    <t>Capital valorado a TRM spot</t>
  </si>
  <si>
    <t>Intereses valorados a TRM spot</t>
  </si>
  <si>
    <t>Efecto cambiario sobre intereses</t>
  </si>
  <si>
    <t>Efecto cambiario sobre capital</t>
  </si>
  <si>
    <t>Comprobación (suma − total)</t>
  </si>
  <si>
    <t>Cuota máxima (COP)</t>
  </si>
  <si>
    <t>Costo efectivo anual en COP (TIR)</t>
  </si>
  <si>
    <t>Promedio de la TRM durante el crédito</t>
  </si>
  <si>
    <t>Flujos en COP para calcular la TIR (trimestre 0 = desembolso recibido)</t>
  </si>
  <si>
    <t>Efecto sobre el flujo de caja: pago anual del crédito en pesos</t>
  </si>
  <si>
    <t>Base − spot</t>
  </si>
  <si>
    <t>P95 − spot</t>
  </si>
  <si>
    <t>Interés en USD del año</t>
  </si>
  <si>
    <t>Capital en USD del año</t>
  </si>
  <si>
    <t>Resultados de la simulación (20.000 trayectorias; valores calculados en Python con la ventana de flotación libre)</t>
  </si>
  <si>
    <t>Indicador</t>
  </si>
  <si>
    <t>Media</t>
  </si>
  <si>
    <t>P5</t>
  </si>
  <si>
    <t>P50</t>
  </si>
  <si>
    <t>P95</t>
  </si>
  <si>
    <t>Total pagado en COP</t>
  </si>
  <si>
    <t>Efecto cambiario sobre intereses (COP)</t>
  </si>
  <si>
    <t>Efecto cambiario sobre capital (COP)</t>
  </si>
  <si>
    <t>Costo efectivo anual en COP</t>
  </si>
  <si>
    <t>Cuota máxima del crédito (COP)</t>
  </si>
  <si>
    <t>Probabilidad de pagar más que con la TRM spot</t>
  </si>
  <si>
    <t>Probabilidad de que el costo efectivo en COP supere 20 % EA</t>
  </si>
  <si>
    <t>Parte B – Supuestos de la cobertura y coherencia del nominal</t>
  </si>
  <si>
    <t>Celdas amarillas = parámetros que se pueden cambiar (todo el análisis de las hojas B.2 y B.3 con fórmulas se recalcula).</t>
  </si>
  <si>
    <t>Parámetro</t>
  </si>
  <si>
    <t>Porcentaje de la exposición cubierto</t>
  </si>
  <si>
    <t>Trimestre en que se inicia la cobertura (fin del año 6)</t>
  </si>
  <si>
    <t>Cuotas pendientes al fin del año 6</t>
  </si>
  <si>
    <t>40 − 24</t>
  </si>
  <si>
    <t>Exposición pendiente (USD)</t>
  </si>
  <si>
    <t>Pagos programados de los años 7 a 10</t>
  </si>
  <si>
    <t>Total a cubrir (USD)</t>
  </si>
  <si>
    <t>75 % de la exposición pendiente</t>
  </si>
  <si>
    <t>i_COP para pactar los forwards (EA)</t>
  </si>
  <si>
    <t>i_USD para pactar los forwards (EA)</t>
  </si>
  <si>
    <t>Tesoro de EE. UU. a 1 año (hoja B.1)</t>
  </si>
  <si>
    <t>Prima forward anual</t>
  </si>
  <si>
    <t>(1 + i_COP) / (1 + i_USD) − 1</t>
  </si>
  <si>
    <t>Tasa de descuento en pesos para el VPN (EA)</t>
  </si>
  <si>
    <t>TES a 10 años por encima de 13 % (La República, 21/10/2026)</t>
  </si>
  <si>
    <t>Tasa de descuento trimestral</t>
  </si>
  <si>
    <t>Tolerancia presupuestal</t>
  </si>
  <si>
    <t>«Fracaso de la cobertura»: costo cubierto del año &gt; presupuesto al forward + 10 %</t>
  </si>
  <si>
    <t>Umbral de pérdida cambiaria extrema</t>
  </si>
  <si>
    <t>Depreciación &gt; 20 % en el año del forward (como 2002, 2008-09, 2014-15, 2020 y 2022)</t>
  </si>
  <si>
    <t>Forwards y coherencia entre nominal cubierto y obligación real</t>
  </si>
  <si>
    <t>Forward</t>
  </si>
  <si>
    <t>Año que cubre</t>
  </si>
  <si>
    <t>Trimestre de pacto</t>
  </si>
  <si>
    <t>Trimestre de vencimiento</t>
  </si>
  <si>
    <t>Pagos USD del año</t>
  </si>
  <si>
    <t>Nominal (USD)</t>
  </si>
  <si>
    <t>¿Nominal ≤ pagos del año?</t>
  </si>
  <si>
    <t>Obligación pendiente al pactar (USD)</t>
  </si>
  <si>
    <t>Nominal vigente + por pactar (USD)</t>
  </si>
  <si>
    <t>¿Cubierto ≤ obligación?</t>
  </si>
  <si>
    <t>Saldo de capital al pactar (USD)</t>
  </si>
  <si>
    <t>Comprobación: total nominal = total a cubrir</t>
  </si>
  <si>
    <t>B.1 Cotización y valoración del forward USD/COP</t>
  </si>
  <si>
    <t>Valores en azul = datos consultados (con fuente); las demás cifras son fórmulas. La cotización de SET-FX para forwards no es de acceso público; se usa la curva forward USD/COP de Cbonds (precio medio al cierre de Londres) y se verifica con la TRM oficial y el cierre de SET-FX.</t>
  </si>
  <si>
    <t>Valor (COP por USD)</t>
  </si>
  <si>
    <t>Fuente</t>
  </si>
  <si>
    <t>Fecha del dato</t>
  </si>
  <si>
    <t>Nota</t>
  </si>
  <si>
    <t>Spot (S/N)</t>
  </si>
  <si>
    <t>Cbonds, USD/COP S/N FX Forward Rate (Mid), https://cbonds.com.tr/indexes/215883/</t>
  </si>
  <si>
    <t>Spot de referencia para los puntos forward</t>
  </si>
  <si>
    <t>Forward 6 meses</t>
  </si>
  <si>
    <t>Cbonds, misma página (tenor 6M)</t>
  </si>
  <si>
    <t>Plazo superior a seis meses</t>
  </si>
  <si>
    <t>Forward 1 año</t>
  </si>
  <si>
    <t>Cbonds, USD/COP 1Y FX Forward Rate (Mid), https://cbonds.com/indexes/215895/</t>
  </si>
  <si>
    <t>Plazo de cada forward de la estrategia</t>
  </si>
  <si>
    <t>Forward 2 años</t>
  </si>
  <si>
    <t>Cbonds, misma página (tenor 2Y)</t>
  </si>
  <si>
    <t>Referencia de la pendiente de la curva</t>
  </si>
  <si>
    <t>TRM vigente</t>
  </si>
  <si>
    <t>Banco de la República, https://totoro.banrep.gov.co/estadisticas-economicas/</t>
  </si>
  <si>
    <t>Tasa oficial (promedio del día hábil anterior)</t>
  </si>
  <si>
    <t>Cierre promedio SET-FX</t>
  </si>
  <si>
    <t>Infobae con datos de SET-FX, https://www.infobae.com/colombia/2026/10/26/dolar-hoy-en-colombia-cotizacion-de-cierre-del-26-de-octubre/</t>
  </si>
  <si>
    <t>Mercado spot interbancario colombiano</t>
  </si>
  <si>
    <t>Puntos forward y devaluación implícita</t>
  </si>
  <si>
    <t>Plazo</t>
  </si>
  <si>
    <t>Años</t>
  </si>
  <si>
    <t>Puntos forward (COP)</t>
  </si>
  <si>
    <t>Devaluación implícita del plazo</t>
  </si>
  <si>
    <t>Devaluación implícita anual</t>
  </si>
  <si>
    <t>6 meses</t>
  </si>
  <si>
    <t>1 año</t>
  </si>
  <si>
    <t>2 años</t>
  </si>
  <si>
    <t>Tasas de interés de referencia</t>
  </si>
  <si>
    <t>Tasa</t>
  </si>
  <si>
    <t>Convención</t>
  </si>
  <si>
    <t>Tasa de política del Banco de la República</t>
  </si>
  <si>
    <t>https://totoro.banrep.gov.co/estadisticas-economicas/</t>
  </si>
  <si>
    <t>Un día</t>
  </si>
  <si>
    <t>Efectiva anual</t>
  </si>
  <si>
    <t>Tasa esperada del Banco de la República a fin de 2026 (encuesta)</t>
  </si>
  <si>
    <t>Fedesarrollo-BVC, Encuesta de Opinión Financiera vía Portafolio, https://www.portafolio.co/economia/gobierno/una-inflacion-de-6-87-elevaria-las-tasas-del-banco-de-la-republica-a-12-50-al-cierre-de-2026-advierte-estudio-504862</t>
  </si>
  <si>
    <t>Hasta dic. 2026</t>
  </si>
  <si>
    <t>TES a 1 año (TCO, subasta)</t>
  </si>
  <si>
    <t>La República, https://www.larepublica.co/economia/las-tasas-de-los-bonos-tes-de-corto-plazo-alcanzaron-maximos-de-mas-de-dos-decadas-4394066</t>
  </si>
  <si>
    <t>Efectiva anual (dato de mayo: desactualizado)</t>
  </si>
  <si>
    <t>IBR a 1 mes</t>
  </si>
  <si>
    <t>Banco de Bogotá Internacional, https://www.bancodebogotainternacional.com/bbi/es/economicindicator</t>
  </si>
  <si>
    <t>1 mes</t>
  </si>
  <si>
    <t>Nominal anual</t>
  </si>
  <si>
    <t>Fed funds efectiva</t>
  </si>
  <si>
    <t>Fed H.15, https://www.federalreserve.gov/releases/h15/</t>
  </si>
  <si>
    <t>Actual/360</t>
  </si>
  <si>
    <t>Tesoro de EE. UU. a 1 año (constant maturity)</t>
  </si>
  <si>
    <t>Rendimiento equivalente de bono (semestral)</t>
  </si>
  <si>
    <t>Forward teórico a 1 año por paridad cubierta de tasas: F = S × (1 + i_COP) / (1 + i_USD)</t>
  </si>
  <si>
    <t>Combinación de tasas</t>
  </si>
  <si>
    <t>i_COP</t>
  </si>
  <si>
    <t>i_USD</t>
  </si>
  <si>
    <t>Forward teórico</t>
  </si>
  <si>
    <t>Forward observado</t>
  </si>
  <si>
    <t>Diferencia (COP)</t>
  </si>
  <si>
    <t>Diferencia (%)</t>
  </si>
  <si>
    <t>Lectura</t>
  </si>
  <si>
    <t>(a) Política BanRep vs Tesoro 1 año (base)</t>
  </si>
  <si>
    <t>Tasas usadas en A.1; i_COP es a un día</t>
  </si>
  <si>
    <t>(b) Tasa BanRep esperada vs Tesoro 1 año</t>
  </si>
  <si>
    <t>Incorpora la subida esperada para octubre</t>
  </si>
  <si>
    <t>(c) TES 1 año vs Tesoro 1 año</t>
  </si>
  <si>
    <t>Mismo plazo, pero incluye riesgo soberano y el dato es de mayo</t>
  </si>
  <si>
    <t>(d) Política BanRep vs fed funds</t>
  </si>
  <si>
    <t>Plazos de un día: no corresponde a un forward de 1 año</t>
  </si>
  <si>
    <t>(e) Igual que (a), Tesoro convertido a efectiva anual</t>
  </si>
  <si>
    <t>Efecto de la convención de capitalización</t>
  </si>
  <si>
    <t>Tasa en pesos implícita en el forward observado (con Tesoro 1 año)</t>
  </si>
  <si>
    <t>Diferencia frente a la tasa de política (pb)</t>
  </si>
  <si>
    <t>B.2 Escenarios de protección y costo de oportunidad</t>
  </si>
  <si>
    <t>Parte 1 (fórmulas): para cada escenario de la hoja «Trayectorias B» se compara el forward pactado con la TRM al vencimiento. Parte 2 (valores de la simulación de 20.000 caminos): proporciones bajo innovaciones normales y t de Student.</t>
  </si>
  <si>
    <t>Escenario</t>
  </si>
  <si>
    <t>TRM al pactar</t>
  </si>
  <si>
    <t>Forward pactado</t>
  </si>
  <si>
    <t>TRM al vencimiento</t>
  </si>
  <si>
    <t>Spot − forward (COP/USD)</t>
  </si>
  <si>
    <t>Resultado del forward</t>
  </si>
  <si>
    <t>Liquidación NDF (COP)</t>
  </si>
  <si>
    <t>Costo del año sin cobertura (COP)</t>
  </si>
  <si>
    <t>Costo combinado: 75 % cubierto + 25 % abierto (COP)</t>
  </si>
  <si>
    <t>Presupuesto al forward (COP)</t>
  </si>
  <si>
    <t>Desviación vs presupuesto sin cobertura</t>
  </si>
  <si>
    <t>Desviación vs presupuesto con cobertura</t>
  </si>
  <si>
    <t>Precio efectivo por USD con cobertura</t>
  </si>
  <si>
    <t>Favorable – Normal</t>
  </si>
  <si>
    <t>Central – Normal</t>
  </si>
  <si>
    <t>Adverso – Normal</t>
  </si>
  <si>
    <t>Favorable – t</t>
  </si>
  <si>
    <t>Central – t</t>
  </si>
  <si>
    <t>Adverso – t</t>
  </si>
  <si>
    <t>Base A.1 (mediana)</t>
  </si>
  <si>
    <t>Parte 2. Resultados de la simulación (20.000 caminos por distribución; los cuatro forwards agrupados)</t>
  </si>
  <si>
    <t>Normal</t>
  </si>
  <si>
    <t>t de Student (ν = 8,9, estimado)</t>
  </si>
  <si>
    <t>t de Student de estrés (ν = 4)</t>
  </si>
  <si>
    <t>Proporción con protección (spot al vencimiento &gt; forward)</t>
  </si>
  <si>
    <t>El forward se liquida a favor: sin él, la empresa habría pagado más.</t>
  </si>
  <si>
    <t>Proporción con costo de oportunidad (spot &lt; forward)</t>
  </si>
  <si>
    <t>El forward se liquida en contra: sin él, la empresa habría pagado menos.</t>
  </si>
  <si>
    <t>Proporción con pérdida cambiaria extrema (depreciación anual &gt; 20 %)</t>
  </si>
  <si>
    <t>Años con choques como los de 2015 o 2022 (≈ 11 % de los años desde 1999).</t>
  </si>
  <si>
    <t>Proporción con depreciación anual &gt; 30 %</t>
  </si>
  <si>
    <t>Cola más extrema: aquí la t de Student pesa más que la normal.</t>
  </si>
  <si>
    <t>Proporción con apreciación anual &gt; 20 % (costo de oportunidad extremo)</t>
  </si>
  <si>
    <t>Años en los que el forward cuesta mucho frente al spot.</t>
  </si>
  <si>
    <t>En años extremos: sobrecosto sin cobertura vs spot del pacto</t>
  </si>
  <si>
    <t>Cuánto más cuestan las cuotas del año frente a la TRM del día del pacto.</t>
  </si>
  <si>
    <t>En años extremos: sobrecosto con cobertura vs spot del pacto</t>
  </si>
  <si>
    <t>Con el 75 % cubierto, el sobrecosto se reduce a una fracción.</t>
  </si>
  <si>
    <t>En años extremos: pérdida sin cobertura vs spot del pacto (COP)</t>
  </si>
  <si>
    <t>Pérdida cambiaria media en esos años.</t>
  </si>
  <si>
    <t>En años extremos: pérdida con cobertura vs spot del pacto (COP)</t>
  </si>
  <si>
    <t>Pérdida que queda con la cobertura.</t>
  </si>
  <si>
    <t>Pérdida del derivado (liquidación negativa)</t>
  </si>
  <si>
    <t>«Pérdida del derivado»: el NDF termina en contra.</t>
  </si>
  <si>
    <t>Pérdida del derivado y cobertura exitosa</t>
  </si>
  <si>
    <t>El derivado pierde, pero el costo del año queda dentro del presupuesto: la cobertura cumplió su función.</t>
  </si>
  <si>
    <t>Ganancia del derivado y cobertura exitosa</t>
  </si>
  <si>
    <t>El derivado gana y el costo queda dentro del presupuesto.</t>
  </si>
  <si>
    <t>Fracaso de la cobertura (costo cubierto &gt; presupuesto + 10 %)</t>
  </si>
  <si>
    <t>«Fracaso de la cobertura»: aun cubierta, la cuota del año supera el presupuesto en más de 10 %.</t>
  </si>
  <si>
    <t>Sin cobertura: costo &gt; presupuesto + 10 %</t>
  </si>
  <si>
    <t>Misma prueba sin cobertura, para comparar.</t>
  </si>
  <si>
    <t>Resultados por forward (simulación)</t>
  </si>
  <si>
    <t>Distribución</t>
  </si>
  <si>
    <t>Forward pactado (mediana)</t>
  </si>
  <si>
    <t>TRM al vencimiento (mediana)</t>
  </si>
  <si>
    <t>Prob. protección</t>
  </si>
  <si>
    <t>Prob. costo de oportunidad</t>
  </si>
  <si>
    <t>Prob. depreciación &gt; 20 %</t>
  </si>
  <si>
    <t>Liquidación media (COP)</t>
  </si>
  <si>
    <t>Liquidación P5 (COP)</t>
  </si>
  <si>
    <t>Liquidación P95 (COP)</t>
  </si>
  <si>
    <t>Desv. est. costo del año sin cobertura</t>
  </si>
  <si>
    <t>Desv. est. costo del año con cobertura</t>
  </si>
  <si>
    <t>t (ν = 8,9)</t>
  </si>
  <si>
    <t>B.3 Flujo consolidado del crédito con y sin cobertura</t>
  </si>
  <si>
    <t>Elija el escenario en la celda amarilla (lista desplegable). Todas las columnas son fórmulas: compra inicial, aporte propio, desembolso, cuotas en USD, conversión a pesos y liquidación de los cuatro NDF.</t>
  </si>
  <si>
    <t>N.º de columna del escenario</t>
  </si>
  <si>
    <t>Fecha</t>
  </si>
  <si>
    <t>Compra de la maquinaria (COP)</t>
  </si>
  <si>
    <t>Aporte propio (COP)</t>
  </si>
  <si>
    <t>Desembolso (USD)</t>
  </si>
  <si>
    <t>TRM</t>
  </si>
  <si>
    <t>Desembolso (COP)</t>
  </si>
  <si>
    <t>Cuota (COP)</t>
  </si>
  <si>
    <t>Forward que vence</t>
  </si>
  <si>
    <t>Flujo neto sin cobertura (COP)</t>
  </si>
  <si>
    <t>Flujo neto con cobertura (COP)</t>
  </si>
  <si>
    <t>Flujo del crédito sin cobertura (COP)</t>
  </si>
  <si>
    <t>Flujo del crédito con cobertura (COP)</t>
  </si>
  <si>
    <t>Indicadores del escenario elegido</t>
  </si>
  <si>
    <t>Sin cobertura</t>
  </si>
  <si>
    <t>Con cobertura</t>
  </si>
  <si>
    <t>Diferencia</t>
  </si>
  <si>
    <t>Costo total de las cuotas (COP)</t>
  </si>
  <si>
    <t>Costo de las cuotas de los años 7-10 (COP)</t>
  </si>
  <si>
    <t>Costo efectivo anual del crédito en pesos (TIR)</t>
  </si>
  <si>
    <t>VPN de las cuotas al 13 % EA (COP)</t>
  </si>
  <si>
    <t>Resultado acumulado de los forwards (COP)</t>
  </si>
  <si>
    <t>Comprobación: compra = aporte + desembolso</t>
  </si>
  <si>
    <t>Comparación de escenarios (fórmulas sobre la hoja «Flujos escenarios B»)</t>
  </si>
  <si>
    <t>TRM año 6 (trim. 24)</t>
  </si>
  <si>
    <t>TRM año 10 (trim. 40)</t>
  </si>
  <si>
    <t>Depreciación durante la cobertura</t>
  </si>
  <si>
    <t>Costo total sin cobertura (COP)</t>
  </si>
  <si>
    <t>Costo total con cobertura (COP)</t>
  </si>
  <si>
    <t>Resultado de los forwards (COP)</t>
  </si>
  <si>
    <t>Costo años 7-10 sin cobertura (COP)</t>
  </si>
  <si>
    <t>Costo años 7-10 con cobertura (COP)</t>
  </si>
  <si>
    <t>Presupuesto años 7-10 al forward (COP)</t>
  </si>
  <si>
    <t>Costo efectivo anual sin cobertura</t>
  </si>
  <si>
    <t>Costo efectivo anual con cobertura</t>
  </si>
  <si>
    <t>VPN cuotas sin cobertura (COP)</t>
  </si>
  <si>
    <t>VPN cuotas con cobertura (COP)</t>
  </si>
  <si>
    <t>B.3 Evaluación financiera de la estrategia de cobertura</t>
  </si>
  <si>
    <t>Valores de cobertura_forward.py (20.000 caminos por distribución). «Rodante» = estrategia del enunciado: cuatro forwards de 1 año, cada uno pactado al cierre del año anterior. «Strip» = variante de comparación: los cuatro precios se fijan al final del año 6 (plazos de 1 a 4 años).</t>
  </si>
  <si>
    <t>Normal – sin cobertura</t>
  </si>
  <si>
    <t>Normal – rodante</t>
  </si>
  <si>
    <t>Normal – strip</t>
  </si>
  <si>
    <t>t (ν = 8,9) – sin cobertura</t>
  </si>
  <si>
    <t>t (ν = 8,9) – rodante</t>
  </si>
  <si>
    <t>t (ν = 8,9) – strip</t>
  </si>
  <si>
    <t>Costo total de las 40 cuotas: media</t>
  </si>
  <si>
    <t>Costo total: desviación estándar</t>
  </si>
  <si>
    <t>Costo total: percentil 95</t>
  </si>
  <si>
    <t>Costo total: percentil 99</t>
  </si>
  <si>
    <t>Costo total: CVaR 95 % (media del peor 5 %)</t>
  </si>
  <si>
    <t>Cuotas de los años 7-10: media</t>
  </si>
  <si>
    <t>Cuotas de los años 7-10: desviación estándar</t>
  </si>
  <si>
    <t>Cuotas de los años 7-10: CVaR 95 %</t>
  </si>
  <si>
    <t>Visto desde el año 6: sobrecosto medio frente a la TRM del año 6</t>
  </si>
  <si>
    <t>Visto desde el año 6: desviación estándar del sobrecosto</t>
  </si>
  <si>
    <t>Visto desde el año 6: sobrecosto P95</t>
  </si>
  <si>
    <t>Visto desde el año 6: sobrecosto P99</t>
  </si>
  <si>
    <t>Costo efectivo anual en pesos: media</t>
  </si>
  <si>
    <t>Costo efectivo anual en pesos: P95</t>
  </si>
  <si>
    <t>VPN de las cuotas al 13 % EA: media</t>
  </si>
  <si>
    <t>Indicador de la cobertura</t>
  </si>
  <si>
    <t>t de estrés (ν = 4)</t>
  </si>
  <si>
    <t>Resultado acumulado de los 4 forwards: media (COP)</t>
  </si>
  <si>
    <t>Resultado acumulado de los 4 forwards: P5 (COP)</t>
  </si>
  <si>
    <t>Resultado acumulado de los 4 forwards: P95 (COP)</t>
  </si>
  <si>
    <t>Prob. de que la cobertura rodante cueste más que no cubrir</t>
  </si>
  <si>
    <t>Strip: resultado acumulado de los 4 forwards, media (COP)</t>
  </si>
  <si>
    <t>Strip: prob. de que cueste más que no cubrir</t>
  </si>
  <si>
    <t>Desv. estándar de la desviación anual vs presupuesto – sin cobertura</t>
  </si>
  <si>
    <t>Desv. estándar de la desviación anual vs presupuesto – con cobertura</t>
  </si>
  <si>
    <t>Sensibilidad a las tasas de interés (innovaciones normales; mismas trayectorias de la TRM)</t>
  </si>
  <si>
    <t>Prima forward</t>
  </si>
  <si>
    <t>Resultado medio de los forwards (COP)</t>
  </si>
  <si>
    <t>Prob. de que la cobertura cueste más</t>
  </si>
  <si>
    <t>Costo total medio con cobertura (COP)</t>
  </si>
  <si>
    <t>Resultado medio del strip (COP)</t>
  </si>
  <si>
    <t>Fracaso de la cobertura</t>
  </si>
  <si>
    <t>Trayectorias trimestrales de la TRM usadas en el punto A.3 (COP por USD)</t>
  </si>
  <si>
    <t>Fuente: simulacion_trm.py (20.000 trayectorias, semilla 42). Año 1 anclado a los escenarios del análisis fundamental; años 2 a 10 con deriva y volatilidad históricas de la ventana de flotación libre (1999–2026). Escenarios = camino mediano de cada uno.</t>
  </si>
  <si>
    <t>TRM spot constante</t>
  </si>
  <si>
    <t>Escenario peso fuerte</t>
  </si>
  <si>
    <t>Escenario peso débil</t>
  </si>
  <si>
    <t>Simulación P25</t>
  </si>
  <si>
    <t>Simulación P75</t>
  </si>
  <si>
    <t>Trayectorias de la TRM para los escenarios de la parte B (COP por USD)</t>
  </si>
  <si>
    <t>Flujos del crédito en pesos por escenario (auxiliar para la hoja B.3)</t>
  </si>
  <si>
    <t>Trimestre 0 = desembolso recibido (+); trimestres 1-40 = cuotas pagadas (−) y, con cobertura, liquidación de los NDF al vencimiento.</t>
  </si>
  <si>
    <t>Favorable – Normal – sin cobertura</t>
  </si>
  <si>
    <t>Favorable – Normal – con cobertura</t>
  </si>
  <si>
    <t>Central – Normal – sin cobertura</t>
  </si>
  <si>
    <t>Central – Normal – con cobertura</t>
  </si>
  <si>
    <t>Adverso – Normal – sin cobertura</t>
  </si>
  <si>
    <t>Adverso – Normal – con cobertura</t>
  </si>
  <si>
    <t>Favorable – t – sin cobertura</t>
  </si>
  <si>
    <t>Favorable – t – con cobertura</t>
  </si>
  <si>
    <t>Central – t – sin cobertura</t>
  </si>
  <si>
    <t>Central – t – con cobertura</t>
  </si>
  <si>
    <t>Adverso – t – sin cobertura</t>
  </si>
  <si>
    <t>Adverso – t – con cobertura</t>
  </si>
  <si>
    <t>Base A.1 (mediana) – sin cobertura</t>
  </si>
  <si>
    <t>Base A.1 (mediana) – con cobertura</t>
  </si>
  <si>
    <t>Parámetros de los años 2 a 10 estimados con distintas ventanas históricas</t>
  </si>
  <si>
    <t>Ventana</t>
  </si>
  <si>
    <t>Rendimientos posteriores a</t>
  </si>
  <si>
    <t>N.º de trimestres</t>
  </si>
  <si>
    <t>Deriva anual (depreciación)</t>
  </si>
  <si>
    <t>Volatilidad anual</t>
  </si>
  <si>
    <t>Error estándar de la deriva</t>
  </si>
  <si>
    <t>Intervalo 95 % de la deriva</t>
  </si>
  <si>
    <t>TRM mediana año 5</t>
  </si>
  <si>
    <t>TRM P5 año 10</t>
  </si>
  <si>
    <t>TRM mediana año 10</t>
  </si>
  <si>
    <t>TRM P95 año 10</t>
  </si>
  <si>
    <t>Costo medio del crédito en COP</t>
  </si>
  <si>
    <t>3 años (2023-2026)</t>
  </si>
  <si>
    <t>5 años (2021-2026)</t>
  </si>
  <si>
    <t>10 años (2016-2026)</t>
  </si>
  <si>
    <t>20 años (2006-2026)</t>
  </si>
  <si>
    <t>Flotación libre (1999-2026)</t>
  </si>
  <si>
    <t>Serie completa (1993-2026)</t>
  </si>
  <si>
    <t>TRM histórica de fin de trimestre (1993–2026) y rendimientos logarítmicos</t>
  </si>
  <si>
    <t>Datos usados por simulacion_trm.py para estimar la deriva y la volatilidad de los años 2 a 10.</t>
  </si>
  <si>
    <t>Fecha de cierre</t>
  </si>
  <si>
    <t>TRM (COP/USD)</t>
  </si>
  <si>
    <t>Rendimiento log trimestral</t>
  </si>
  <si>
    <t>Superfinanciera - Historico TRM para estados financieros</t>
  </si>
  <si>
    <t>FRED COLCCUSSP02STQ (OECD - TRM fin de periodo)</t>
  </si>
  <si>
    <t>Pound Sterling Live - cierre de mercado USD/COP</t>
  </si>
  <si>
    <t>TRM 31-dic-2024 (consultorcontable.com con datos de Superfinanciera)</t>
  </si>
  <si>
    <t>ValutaFX - cierre de mercado USD/COP</t>
  </si>
  <si>
    <t>Tasa implícita en el forward de mercado (hoja B.1)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</si>
</sst>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&quot;($&quot;#,##0\);\-"/>
    <numFmt numFmtId="165" formatCode="\$#,##0.00;&quot;($&quot;#,##0.00\);\-"/>
    <numFmt numFmtId="166" formatCode="0.0000%"/>
    <numFmt numFmtId="167" formatCode="&quot;COP &quot;#,##0;&quot;(COP &quot;#,##0\);\-"/>
    <numFmt numFmtId="168" formatCode="0.0%"/>
    <numFmt numFmtId="169" formatCode="dd/mm/yyyy"/>
    <numFmt numFmtId="170" formatCode="yyyy\-mm\-dd"/>
  </numFmts>
  <fonts count="14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11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i/>
      <sz val="11"/>
      <name val="Arial"/>
      <family val="2"/>
    </font>
    <font>
      <b/>
      <sz val="11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6" fillId="0" borderId="2" xfId="0" applyFont="1" applyBorder="1" applyAlignment="1">
      <alignment vertical="top" wrapText="1"/>
    </xf>
    <xf numFmtId="0" fontId="9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2" xfId="0" applyFont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165" fontId="10" fillId="0" borderId="2" xfId="0" applyNumberFormat="1" applyFont="1" applyBorder="1"/>
    <xf numFmtId="165" fontId="6" fillId="0" borderId="2" xfId="0" applyNumberFormat="1" applyFont="1" applyBorder="1"/>
    <xf numFmtId="10" fontId="6" fillId="0" borderId="2" xfId="0" applyNumberFormat="1" applyFont="1" applyBorder="1"/>
    <xf numFmtId="0" fontId="9" fillId="0" borderId="2" xfId="0" applyFont="1" applyBorder="1"/>
    <xf numFmtId="0" fontId="3" fillId="2" borderId="1" xfId="0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/>
    <xf numFmtId="0" fontId="4" fillId="0" borderId="0" xfId="0" applyFont="1"/>
    <xf numFmtId="165" fontId="3" fillId="0" borderId="0" xfId="0" applyNumberFormat="1" applyFont="1"/>
    <xf numFmtId="4" fontId="10" fillId="0" borderId="0" xfId="0" applyNumberFormat="1" applyFont="1"/>
    <xf numFmtId="165" fontId="10" fillId="0" borderId="0" xfId="0" applyNumberFormat="1" applyFont="1"/>
    <xf numFmtId="167" fontId="10" fillId="0" borderId="0" xfId="0" applyNumberFormat="1" applyFont="1"/>
    <xf numFmtId="0" fontId="6" fillId="0" borderId="2" xfId="0" applyFont="1" applyBorder="1"/>
    <xf numFmtId="1" fontId="10" fillId="0" borderId="2" xfId="0" applyNumberFormat="1" applyFont="1" applyBorder="1"/>
    <xf numFmtId="167" fontId="6" fillId="0" borderId="2" xfId="0" applyNumberFormat="1" applyFont="1" applyBorder="1"/>
    <xf numFmtId="0" fontId="9" fillId="2" borderId="2" xfId="0" applyFont="1" applyFill="1" applyBorder="1"/>
    <xf numFmtId="0" fontId="6" fillId="2" borderId="2" xfId="0" applyFont="1" applyFill="1" applyBorder="1"/>
    <xf numFmtId="165" fontId="9" fillId="2" borderId="2" xfId="0" applyNumberFormat="1" applyFont="1" applyFill="1" applyBorder="1"/>
    <xf numFmtId="167" fontId="9" fillId="2" borderId="2" xfId="0" applyNumberFormat="1" applyFont="1" applyFill="1" applyBorder="1"/>
    <xf numFmtId="4" fontId="6" fillId="0" borderId="2" xfId="0" applyNumberFormat="1" applyFont="1" applyBorder="1"/>
    <xf numFmtId="0" fontId="12" fillId="0" borderId="0" xfId="0" applyFont="1"/>
    <xf numFmtId="1" fontId="6" fillId="0" borderId="2" xfId="0" applyNumberFormat="1" applyFont="1" applyBorder="1"/>
    <xf numFmtId="0" fontId="6" fillId="0" borderId="2" xfId="0" applyFont="1" applyBorder="1" applyAlignment="1">
      <alignment horizontal="center" vertical="center" wrapText="1"/>
    </xf>
    <xf numFmtId="4" fontId="11" fillId="0" borderId="2" xfId="0" applyNumberFormat="1" applyFont="1" applyBorder="1"/>
    <xf numFmtId="169" fontId="6" fillId="0" borderId="2" xfId="0" applyNumberFormat="1" applyFont="1" applyBorder="1"/>
    <xf numFmtId="0" fontId="11" fillId="0" borderId="2" xfId="0" applyFont="1" applyBorder="1"/>
    <xf numFmtId="10" fontId="11" fillId="0" borderId="2" xfId="0" applyNumberFormat="1" applyFont="1" applyBorder="1"/>
    <xf numFmtId="0" fontId="9" fillId="4" borderId="2" xfId="0" applyFont="1" applyFill="1" applyBorder="1" applyAlignment="1">
      <alignment vertical="top" wrapText="1"/>
    </xf>
    <xf numFmtId="10" fontId="6" fillId="4" borderId="2" xfId="0" applyNumberFormat="1" applyFont="1" applyFill="1" applyBorder="1"/>
    <xf numFmtId="4" fontId="6" fillId="4" borderId="2" xfId="0" applyNumberFormat="1" applyFont="1" applyFill="1" applyBorder="1"/>
    <xf numFmtId="10" fontId="9" fillId="4" borderId="2" xfId="0" applyNumberFormat="1" applyFont="1" applyFill="1" applyBorder="1"/>
    <xf numFmtId="1" fontId="9" fillId="0" borderId="2" xfId="0" applyNumberFormat="1" applyFont="1" applyBorder="1"/>
    <xf numFmtId="168" fontId="6" fillId="0" borderId="2" xfId="0" applyNumberFormat="1" applyFont="1" applyBorder="1"/>
    <xf numFmtId="0" fontId="9" fillId="5" borderId="2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4" fontId="6" fillId="5" borderId="2" xfId="0" applyNumberFormat="1" applyFont="1" applyFill="1" applyBorder="1"/>
    <xf numFmtId="167" fontId="6" fillId="5" borderId="2" xfId="0" applyNumberFormat="1" applyFont="1" applyFill="1" applyBorder="1"/>
    <xf numFmtId="168" fontId="6" fillId="5" borderId="2" xfId="0" applyNumberFormat="1" applyFont="1" applyFill="1" applyBorder="1"/>
    <xf numFmtId="0" fontId="6" fillId="5" borderId="2" xfId="0" applyFont="1" applyFill="1" applyBorder="1"/>
    <xf numFmtId="170" fontId="10" fillId="0" borderId="2" xfId="0" applyNumberFormat="1" applyFont="1" applyBorder="1"/>
    <xf numFmtId="0" fontId="6" fillId="4" borderId="2" xfId="0" applyFont="1" applyFill="1" applyBorder="1" applyAlignment="1">
      <alignment horizontal="center" vertical="center" wrapText="1"/>
    </xf>
    <xf numFmtId="170" fontId="10" fillId="4" borderId="2" xfId="0" applyNumberFormat="1" applyFont="1" applyFill="1" applyBorder="1"/>
    <xf numFmtId="167" fontId="6" fillId="4" borderId="2" xfId="0" applyNumberFormat="1" applyFont="1" applyFill="1" applyBorder="1"/>
    <xf numFmtId="165" fontId="6" fillId="4" borderId="2" xfId="0" applyNumberFormat="1" applyFont="1" applyFill="1" applyBorder="1"/>
    <xf numFmtId="168" fontId="6" fillId="4" borderId="2" xfId="0" applyNumberFormat="1" applyFont="1" applyFill="1" applyBorder="1"/>
    <xf numFmtId="170" fontId="6" fillId="0" borderId="2" xfId="0" applyNumberFormat="1" applyFont="1" applyBorder="1"/>
    <xf numFmtId="4" fontId="10" fillId="0" borderId="2" xfId="0" applyNumberFormat="1" applyFont="1" applyBorder="1"/>
    <xf numFmtId="170" fontId="10" fillId="5" borderId="2" xfId="0" applyNumberFormat="1" applyFont="1" applyFill="1" applyBorder="1"/>
    <xf numFmtId="4" fontId="11" fillId="5" borderId="2" xfId="0" applyNumberFormat="1" applyFont="1" applyFill="1" applyBorder="1"/>
    <xf numFmtId="4" fontId="10" fillId="5" borderId="2" xfId="0" applyNumberFormat="1" applyFont="1" applyFill="1" applyBorder="1"/>
    <xf numFmtId="170" fontId="6" fillId="4" borderId="2" xfId="0" applyNumberFormat="1" applyFont="1" applyFill="1" applyBorder="1"/>
    <xf numFmtId="0" fontId="6" fillId="4" borderId="2" xfId="0" applyFont="1" applyFill="1" applyBorder="1"/>
    <xf numFmtId="0" fontId="6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9" fillId="2" borderId="2" xfId="0" applyFont="1" applyFill="1" applyBorder="1" applyAlignment="1">
      <alignment horizontal="center" vertical="center" wrapText="1"/>
    </xf>
    <xf numFmtId="0" fontId="13" fillId="3" borderId="2" xfId="0" applyFont="1" applyFill="1" applyBorder="1"/>
    <xf numFmtId="0" fontId="12" fillId="0" borderId="0" xfId="0" applyFont="1" applyAlignment="1">
      <alignment vertical="top" wrapText="1"/>
    </xf>
    <xf numFmtId="1" fontId="6" fillId="7" borderId="2" xfId="0" applyNumberFormat="1" applyFont="1" applyFill="1" applyBorder="1"/>
    <xf numFmtId="165" fontId="6" fillId="7" borderId="2" xfId="0" applyNumberFormat="1" applyFont="1" applyFill="1" applyBorder="1"/>
    <xf numFmtId="10" fontId="6" fillId="7" borderId="2" xfId="0" applyNumberFormat="1" applyFont="1" applyFill="1" applyBorder="1"/>
    <xf numFmtId="168" fontId="6" fillId="6" borderId="2" xfId="0" applyNumberFormat="1" applyFont="1" applyFill="1" applyBorder="1"/>
    <xf numFmtId="1" fontId="6" fillId="6" borderId="2" xfId="0" applyNumberFormat="1" applyFont="1" applyFill="1" applyBorder="1"/>
    <xf numFmtId="10" fontId="6" fillId="6" borderId="2" xfId="0" applyNumberFormat="1" applyFont="1" applyFill="1" applyBorder="1"/>
    <xf numFmtId="0" fontId="6" fillId="7" borderId="2" xfId="0" applyFont="1" applyFill="1" applyBorder="1" applyAlignment="1">
      <alignment vertical="top" wrapText="1"/>
    </xf>
    <xf numFmtId="164" fontId="4" fillId="7" borderId="1" xfId="0" applyNumberFormat="1" applyFont="1" applyFill="1" applyBorder="1"/>
    <xf numFmtId="165" fontId="4" fillId="7" borderId="1" xfId="0" applyNumberFormat="1" applyFont="1" applyFill="1" applyBorder="1"/>
    <xf numFmtId="1" fontId="4" fillId="7" borderId="1" xfId="0" applyNumberFormat="1" applyFont="1" applyFill="1" applyBorder="1"/>
    <xf numFmtId="10" fontId="4" fillId="7" borderId="1" xfId="0" applyNumberFormat="1" applyFont="1" applyFill="1" applyBorder="1"/>
    <xf numFmtId="166" fontId="4" fillId="7" borderId="1" xfId="0" applyNumberFormat="1" applyFont="1" applyFill="1" applyBorder="1"/>
    <xf numFmtId="165" fontId="3" fillId="7" borderId="1" xfId="0" applyNumberFormat="1" applyFont="1" applyFill="1" applyBorder="1"/>
    <xf numFmtId="4" fontId="4" fillId="6" borderId="1" xfId="0" applyNumberFormat="1" applyFont="1" applyFill="1" applyBorder="1"/>
    <xf numFmtId="10" fontId="4" fillId="6" borderId="1" xfId="0" applyNumberFormat="1" applyFont="1" applyFill="1" applyBorder="1"/>
    <xf numFmtId="0" fontId="4" fillId="7" borderId="1" xfId="0" applyFont="1" applyFill="1" applyBorder="1" applyAlignment="1">
      <alignment vertical="top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Cuota trimestral del crédito en pesos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'A.3 Conversión'!$F$7</c:f>
              <c:strCache>
                <c:ptCount val="1"/>
                <c:pt idx="0">
                  <c:v>Cuota COP – spot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'A.3 Conversión'!$A$8:$A$47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'A.3 Conversión'!$F$8:$F$47</c:f>
              <c:numCache>
                <c:formatCode>"COP "#,##0;"(COP "#,##0\);\-</c:formatCode>
                <c:ptCount val="40"/>
                <c:pt idx="0">
                  <c:v>16210058.411875241</c:v>
                </c:pt>
                <c:pt idx="1">
                  <c:v>16210058.411875241</c:v>
                </c:pt>
                <c:pt idx="2">
                  <c:v>16210058.411875241</c:v>
                </c:pt>
                <c:pt idx="3">
                  <c:v>16210058.411875241</c:v>
                </c:pt>
                <c:pt idx="4">
                  <c:v>16210058.411875241</c:v>
                </c:pt>
                <c:pt idx="5">
                  <c:v>16210058.411875241</c:v>
                </c:pt>
                <c:pt idx="6">
                  <c:v>16210058.411875241</c:v>
                </c:pt>
                <c:pt idx="7">
                  <c:v>16210058.411875241</c:v>
                </c:pt>
                <c:pt idx="8">
                  <c:v>16210058.411875241</c:v>
                </c:pt>
                <c:pt idx="9">
                  <c:v>16210058.411875241</c:v>
                </c:pt>
                <c:pt idx="10">
                  <c:v>16210058.411875241</c:v>
                </c:pt>
                <c:pt idx="11">
                  <c:v>16210058.411875241</c:v>
                </c:pt>
                <c:pt idx="12">
                  <c:v>16210058.411875241</c:v>
                </c:pt>
                <c:pt idx="13">
                  <c:v>16210058.411875241</c:v>
                </c:pt>
                <c:pt idx="14">
                  <c:v>16210058.411875241</c:v>
                </c:pt>
                <c:pt idx="15">
                  <c:v>16210058.411875241</c:v>
                </c:pt>
                <c:pt idx="16">
                  <c:v>16210058.411875241</c:v>
                </c:pt>
                <c:pt idx="17">
                  <c:v>16210058.411875241</c:v>
                </c:pt>
                <c:pt idx="18">
                  <c:v>16210058.411875241</c:v>
                </c:pt>
                <c:pt idx="19">
                  <c:v>16210058.411875241</c:v>
                </c:pt>
                <c:pt idx="20">
                  <c:v>16210058.411875241</c:v>
                </c:pt>
                <c:pt idx="21">
                  <c:v>16210058.411875241</c:v>
                </c:pt>
                <c:pt idx="22">
                  <c:v>16210058.411875241</c:v>
                </c:pt>
                <c:pt idx="23">
                  <c:v>16210058.411875241</c:v>
                </c:pt>
                <c:pt idx="24">
                  <c:v>16210058.411875241</c:v>
                </c:pt>
                <c:pt idx="25">
                  <c:v>16210058.411875241</c:v>
                </c:pt>
                <c:pt idx="26">
                  <c:v>16210058.411875241</c:v>
                </c:pt>
                <c:pt idx="27">
                  <c:v>16210058.411875241</c:v>
                </c:pt>
                <c:pt idx="28">
                  <c:v>16210058.411875241</c:v>
                </c:pt>
                <c:pt idx="29">
                  <c:v>16210058.411875241</c:v>
                </c:pt>
                <c:pt idx="30">
                  <c:v>16210058.411875241</c:v>
                </c:pt>
                <c:pt idx="31">
                  <c:v>16210058.411875241</c:v>
                </c:pt>
                <c:pt idx="32">
                  <c:v>16210058.411875241</c:v>
                </c:pt>
                <c:pt idx="33">
                  <c:v>16210058.411875241</c:v>
                </c:pt>
                <c:pt idx="34">
                  <c:v>16210058.411875241</c:v>
                </c:pt>
                <c:pt idx="35">
                  <c:v>16210058.411875241</c:v>
                </c:pt>
                <c:pt idx="36">
                  <c:v>16210058.411875241</c:v>
                </c:pt>
                <c:pt idx="37">
                  <c:v>16210058.411875241</c:v>
                </c:pt>
                <c:pt idx="38">
                  <c:v>16210058.411875241</c:v>
                </c:pt>
                <c:pt idx="39">
                  <c:v>16210058.411875241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6C-4289-A28D-14D014C7EB54}"/>
            </c:ext>
          </c:extLst>
        </c:ser>
        <c:ser>
          <c:idx val="1"/>
          <c:order val="1"/>
          <c:tx>
            <c:strRef>
              <c:f>'A.3 Conversión'!$G$7</c:f>
              <c:strCache>
                <c:ptCount val="1"/>
                <c:pt idx="0">
                  <c:v>Cuota COP – base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'A.3 Conversión'!$A$8:$A$47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'A.3 Conversión'!$G$8:$G$47</c:f>
              <c:numCache>
                <c:formatCode>"COP "#,##0;"(COP "#,##0\);\-</c:formatCode>
                <c:ptCount val="40"/>
                <c:pt idx="0">
                  <c:v>16457120.855643827</c:v>
                </c:pt>
                <c:pt idx="1">
                  <c:v>16707948.853463475</c:v>
                </c:pt>
                <c:pt idx="2">
                  <c:v>16962599.797291875</c:v>
                </c:pt>
                <c:pt idx="3">
                  <c:v>17221131.95381495</c:v>
                </c:pt>
                <c:pt idx="4">
                  <c:v>17303022.08468822</c:v>
                </c:pt>
                <c:pt idx="5">
                  <c:v>17385301.620482896</c:v>
                </c:pt>
                <c:pt idx="6">
                  <c:v>17467972.41290186</c:v>
                </c:pt>
                <c:pt idx="7">
                  <c:v>17551036.322453193</c:v>
                </c:pt>
                <c:pt idx="8">
                  <c:v>17634495.218492199</c:v>
                </c:pt>
                <c:pt idx="9">
                  <c:v>17718350.979263313</c:v>
                </c:pt>
                <c:pt idx="10">
                  <c:v>17802605.491942395</c:v>
                </c:pt>
                <c:pt idx="11">
                  <c:v>17887260.652679212</c:v>
                </c:pt>
                <c:pt idx="12">
                  <c:v>17972318.36664027</c:v>
                </c:pt>
                <c:pt idx="13">
                  <c:v>18057780.548051298</c:v>
                </c:pt>
                <c:pt idx="14">
                  <c:v>18143649.1202408</c:v>
                </c:pt>
                <c:pt idx="15">
                  <c:v>18229926.015683014</c:v>
                </c:pt>
                <c:pt idx="16">
                  <c:v>18316613.176041488</c:v>
                </c:pt>
                <c:pt idx="17">
                  <c:v>18403712.552212819</c:v>
                </c:pt>
                <c:pt idx="18">
                  <c:v>18491226.10437049</c:v>
                </c:pt>
                <c:pt idx="19">
                  <c:v>18579155.802009154</c:v>
                </c:pt>
                <c:pt idx="20">
                  <c:v>18667503.623988695</c:v>
                </c:pt>
                <c:pt idx="21">
                  <c:v>18756271.558578953</c:v>
                </c:pt>
                <c:pt idx="22">
                  <c:v>18845461.603504356</c:v>
                </c:pt>
                <c:pt idx="23">
                  <c:v>18935075.765989009</c:v>
                </c:pt>
                <c:pt idx="24">
                  <c:v>19025116.062801722</c:v>
                </c:pt>
                <c:pt idx="25">
                  <c:v>19115584.52030151</c:v>
                </c:pt>
                <c:pt idx="26">
                  <c:v>19206483.174483184</c:v>
                </c:pt>
                <c:pt idx="27">
                  <c:v>19297814.071023114</c:v>
                </c:pt>
                <c:pt idx="28">
                  <c:v>19389579.265325222</c:v>
                </c:pt>
                <c:pt idx="29">
                  <c:v>19481780.822567448</c:v>
                </c:pt>
                <c:pt idx="30">
                  <c:v>19574420.817747977</c:v>
                </c:pt>
                <c:pt idx="31">
                  <c:v>19667501.335732132</c:v>
                </c:pt>
                <c:pt idx="32">
                  <c:v>19761024.471299127</c:v>
                </c:pt>
                <c:pt idx="33">
                  <c:v>19854992.329189382</c:v>
                </c:pt>
                <c:pt idx="34">
                  <c:v>19949407.024151705</c:v>
                </c:pt>
                <c:pt idx="35">
                  <c:v>20044270.680991087</c:v>
                </c:pt>
                <c:pt idx="36">
                  <c:v>20139585.434616346</c:v>
                </c:pt>
                <c:pt idx="37">
                  <c:v>20235353.430088267</c:v>
                </c:pt>
                <c:pt idx="38">
                  <c:v>20331576.822667856</c:v>
                </c:pt>
                <c:pt idx="39">
                  <c:v>20428257.777864866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6C-4289-A28D-14D014C7EB54}"/>
            </c:ext>
          </c:extLst>
        </c:ser>
        <c:ser>
          <c:idx val="2"/>
          <c:order val="2"/>
          <c:tx>
            <c:strRef>
              <c:f>'A.3 Conversión'!$H$7</c:f>
              <c:strCache>
                <c:ptCount val="1"/>
                <c:pt idx="0">
                  <c:v>Cuota COP – peso fuerte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'A.3 Conversión'!$A$8:$A$47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'A.3 Conversión'!$H$8:$H$47</c:f>
              <c:numCache>
                <c:formatCode>"COP "#,##0;"(COP "#,##0\);\-</c:formatCode>
                <c:ptCount val="40"/>
                <c:pt idx="0">
                  <c:v>16143046.946416695</c:v>
                </c:pt>
                <c:pt idx="1">
                  <c:v>16076312.502569629</c:v>
                </c:pt>
                <c:pt idx="2">
                  <c:v>16009853.935142308</c:v>
                </c:pt>
                <c:pt idx="3">
                  <c:v>15943670.103677237</c:v>
                </c:pt>
                <c:pt idx="4">
                  <c:v>16019485.632812724</c:v>
                </c:pt>
                <c:pt idx="5">
                  <c:v>16095661.680851383</c:v>
                </c:pt>
                <c:pt idx="6">
                  <c:v>16172199.962136978</c:v>
                </c:pt>
                <c:pt idx="7">
                  <c:v>16249102.199165307</c:v>
                </c:pt>
                <c:pt idx="8">
                  <c:v>16326370.122623058</c:v>
                </c:pt>
                <c:pt idx="9">
                  <c:v>16404005.471426655</c:v>
                </c:pt>
                <c:pt idx="10">
                  <c:v>16482009.992761489</c:v>
                </c:pt>
                <c:pt idx="11">
                  <c:v>16560385.442121126</c:v>
                </c:pt>
                <c:pt idx="12">
                  <c:v>16639133.583346922</c:v>
                </c:pt>
                <c:pt idx="13">
                  <c:v>16718256.188667705</c:v>
                </c:pt>
                <c:pt idx="14">
                  <c:v>16797755.03873951</c:v>
                </c:pt>
                <c:pt idx="15">
                  <c:v>16877631.922685891</c:v>
                </c:pt>
                <c:pt idx="16">
                  <c:v>16957888.638137925</c:v>
                </c:pt>
                <c:pt idx="17">
                  <c:v>17038526.991274998</c:v>
                </c:pt>
                <c:pt idx="18">
                  <c:v>17119548.79686515</c:v>
                </c:pt>
                <c:pt idx="19">
                  <c:v>17200955.878305912</c:v>
                </c:pt>
                <c:pt idx="20">
                  <c:v>17282750.06766573</c:v>
                </c:pt>
                <c:pt idx="21">
                  <c:v>17364933.205724653</c:v>
                </c:pt>
                <c:pt idx="22">
                  <c:v>17447507.142016195</c:v>
                </c:pt>
                <c:pt idx="23">
                  <c:v>17530473.734868765</c:v>
                </c:pt>
                <c:pt idx="24">
                  <c:v>17613834.851447467</c:v>
                </c:pt>
                <c:pt idx="25">
                  <c:v>17697592.367796186</c:v>
                </c:pt>
                <c:pt idx="26">
                  <c:v>17781748.168879859</c:v>
                </c:pt>
                <c:pt idx="27">
                  <c:v>17866304.148626752</c:v>
                </c:pt>
                <c:pt idx="28">
                  <c:v>17951262.209971212</c:v>
                </c:pt>
                <c:pt idx="29">
                  <c:v>18036624.264896426</c:v>
                </c:pt>
                <c:pt idx="30">
                  <c:v>18122392.234477352</c:v>
                </c:pt>
                <c:pt idx="31">
                  <c:v>18208568.048924338</c:v>
                </c:pt>
                <c:pt idx="32">
                  <c:v>18295153.647625994</c:v>
                </c:pt>
                <c:pt idx="33">
                  <c:v>18382150.97919333</c:v>
                </c:pt>
                <c:pt idx="34">
                  <c:v>18469562.001503386</c:v>
                </c:pt>
                <c:pt idx="35">
                  <c:v>18557388.681743179</c:v>
                </c:pt>
                <c:pt idx="36">
                  <c:v>18645632.996454336</c:v>
                </c:pt>
                <c:pt idx="37">
                  <c:v>18734296.931577161</c:v>
                </c:pt>
                <c:pt idx="38">
                  <c:v>18823382.482495677</c:v>
                </c:pt>
                <c:pt idx="39">
                  <c:v>18912891.654082272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6C-4289-A28D-14D014C7EB54}"/>
            </c:ext>
          </c:extLst>
        </c:ser>
        <c:ser>
          <c:idx val="3"/>
          <c:order val="3"/>
          <c:tx>
            <c:strRef>
              <c:f>'A.3 Conversión'!$I$7</c:f>
              <c:strCache>
                <c:ptCount val="1"/>
                <c:pt idx="0">
                  <c:v>Cuota COP – peso débil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'A.3 Conversión'!$A$8:$A$47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'A.3 Conversión'!$I$8:$I$47</c:f>
              <c:numCache>
                <c:formatCode>"COP "#,##0;"(COP "#,##0\);\-</c:formatCode>
                <c:ptCount val="40"/>
                <c:pt idx="0">
                  <c:v>16836488.352096204</c:v>
                </c:pt>
                <c:pt idx="1">
                  <c:v>17487126.37720092</c:v>
                </c:pt>
                <c:pt idx="2">
                  <c:v>18162907.997030314</c:v>
                </c:pt>
                <c:pt idx="3">
                  <c:v>18864804.873754911</c:v>
                </c:pt>
                <c:pt idx="4">
                  <c:v>18954511.017587602</c:v>
                </c:pt>
                <c:pt idx="5">
                  <c:v>19044643.733139198</c:v>
                </c:pt>
                <c:pt idx="6">
                  <c:v>19135205.048848562</c:v>
                </c:pt>
                <c:pt idx="7">
                  <c:v>19226197.002800271</c:v>
                </c:pt>
                <c:pt idx="8">
                  <c:v>19317621.642770357</c:v>
                </c:pt>
                <c:pt idx="9">
                  <c:v>19409481.026272509</c:v>
                </c:pt>
                <c:pt idx="10">
                  <c:v>19501777.220604405</c:v>
                </c:pt>
                <c:pt idx="11">
                  <c:v>19594512.302894011</c:v>
                </c:pt>
                <c:pt idx="12">
                  <c:v>19687688.360146556</c:v>
                </c:pt>
                <c:pt idx="13">
                  <c:v>19781307.489291415</c:v>
                </c:pt>
                <c:pt idx="14">
                  <c:v>19875371.797229327</c:v>
                </c:pt>
                <c:pt idx="15">
                  <c:v>19969883.400879689</c:v>
                </c:pt>
                <c:pt idx="16">
                  <c:v>20064844.427228495</c:v>
                </c:pt>
                <c:pt idx="17">
                  <c:v>20160257.01337583</c:v>
                </c:pt>
                <c:pt idx="18">
                  <c:v>20256123.306584205</c:v>
                </c:pt>
                <c:pt idx="19">
                  <c:v>20352445.464326847</c:v>
                </c:pt>
                <c:pt idx="20">
                  <c:v>20449225.654336102</c:v>
                </c:pt>
                <c:pt idx="21">
                  <c:v>20546466.054652557</c:v>
                </c:pt>
                <c:pt idx="22">
                  <c:v>20644168.853673615</c:v>
                </c:pt>
                <c:pt idx="23">
                  <c:v>20742336.250203144</c:v>
                </c:pt>
                <c:pt idx="24">
                  <c:v>20840970.453500737</c:v>
                </c:pt>
                <c:pt idx="25">
                  <c:v>20940073.683331411</c:v>
                </c:pt>
                <c:pt idx="26">
                  <c:v>21039648.170015778</c:v>
                </c:pt>
                <c:pt idx="27">
                  <c:v>21139696.154479902</c:v>
                </c:pt>
                <c:pt idx="28">
                  <c:v>21240219.888306189</c:v>
                </c:pt>
                <c:pt idx="29">
                  <c:v>21341221.633783486</c:v>
                </c:pt>
                <c:pt idx="30">
                  <c:v>21442703.663958598</c:v>
                </c:pt>
                <c:pt idx="31">
                  <c:v>21544668.262686953</c:v>
                </c:pt>
                <c:pt idx="32">
                  <c:v>21647117.72468425</c:v>
                </c:pt>
                <c:pt idx="33">
                  <c:v>21750054.355578098</c:v>
                </c:pt>
                <c:pt idx="34">
                  <c:v>21853480.471959803</c:v>
                </c:pt>
                <c:pt idx="35">
                  <c:v>21957398.401436467</c:v>
                </c:pt>
                <c:pt idx="36">
                  <c:v>22061810.482683711</c:v>
                </c:pt>
                <c:pt idx="37">
                  <c:v>22166719.065497756</c:v>
                </c:pt>
                <c:pt idx="38">
                  <c:v>22272126.510848813</c:v>
                </c:pt>
                <c:pt idx="39">
                  <c:v>22378035.190933943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B6C-4289-A28D-14D014C7EB54}"/>
            </c:ext>
          </c:extLst>
        </c:ser>
        <c:ser>
          <c:idx val="4"/>
          <c:order val="4"/>
          <c:tx>
            <c:strRef>
              <c:f>'A.3 Conversión'!$J$7</c:f>
              <c:strCache>
                <c:ptCount val="1"/>
                <c:pt idx="0">
                  <c:v>Cuota COP – sim. P5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'A.3 Conversión'!$A$8:$A$47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'A.3 Conversión'!$J$8:$J$47</c:f>
              <c:numCache>
                <c:formatCode>"COP "#,##0;"(COP "#,##0\);\-</c:formatCode>
                <c:ptCount val="40"/>
                <c:pt idx="0">
                  <c:v>15272255.479063468</c:v>
                </c:pt>
                <c:pt idx="1">
                  <c:v>15150280.513364634</c:v>
                </c:pt>
                <c:pt idx="2">
                  <c:v>15259964.032393146</c:v>
                </c:pt>
                <c:pt idx="3">
                  <c:v>15515504.581848331</c:v>
                </c:pt>
                <c:pt idx="4">
                  <c:v>14885803.096740838</c:v>
                </c:pt>
                <c:pt idx="5">
                  <c:v>14454139.04697663</c:v>
                </c:pt>
                <c:pt idx="6">
                  <c:v>14084080.52727819</c:v>
                </c:pt>
                <c:pt idx="7">
                  <c:v>13791879.041944573</c:v>
                </c:pt>
                <c:pt idx="8">
                  <c:v>13564800.745011467</c:v>
                </c:pt>
                <c:pt idx="9">
                  <c:v>13344234.828954836</c:v>
                </c:pt>
                <c:pt idx="10">
                  <c:v>13144317.590888079</c:v>
                </c:pt>
                <c:pt idx="11">
                  <c:v>12966516.541140247</c:v>
                </c:pt>
                <c:pt idx="12">
                  <c:v>12830507.204105189</c:v>
                </c:pt>
                <c:pt idx="13">
                  <c:v>12732092.70081846</c:v>
                </c:pt>
                <c:pt idx="14">
                  <c:v>12563959.628438788</c:v>
                </c:pt>
                <c:pt idx="15">
                  <c:v>12439663.771439346</c:v>
                </c:pt>
                <c:pt idx="16">
                  <c:v>12339095.843797849</c:v>
                </c:pt>
                <c:pt idx="17">
                  <c:v>12206953.742783206</c:v>
                </c:pt>
                <c:pt idx="18">
                  <c:v>12064968.202968866</c:v>
                </c:pt>
                <c:pt idx="19">
                  <c:v>11974293.995972643</c:v>
                </c:pt>
                <c:pt idx="20">
                  <c:v>11837675.883641573</c:v>
                </c:pt>
                <c:pt idx="21">
                  <c:v>11755451.530774098</c:v>
                </c:pt>
                <c:pt idx="22">
                  <c:v>11652182.401523143</c:v>
                </c:pt>
                <c:pt idx="23">
                  <c:v>11554827.341994697</c:v>
                </c:pt>
                <c:pt idx="24">
                  <c:v>11462831.401640879</c:v>
                </c:pt>
                <c:pt idx="25">
                  <c:v>11428733.761262478</c:v>
                </c:pt>
                <c:pt idx="26">
                  <c:v>11309361.392994408</c:v>
                </c:pt>
                <c:pt idx="27">
                  <c:v>11253021.973531732</c:v>
                </c:pt>
                <c:pt idx="28">
                  <c:v>11205006.260303916</c:v>
                </c:pt>
                <c:pt idx="29">
                  <c:v>11114915.911668155</c:v>
                </c:pt>
                <c:pt idx="30">
                  <c:v>11042348.2496987</c:v>
                </c:pt>
                <c:pt idx="31">
                  <c:v>10999323.528994299</c:v>
                </c:pt>
                <c:pt idx="32">
                  <c:v>10977860.52094846</c:v>
                </c:pt>
                <c:pt idx="33">
                  <c:v>10890016.30232301</c:v>
                </c:pt>
                <c:pt idx="34">
                  <c:v>10844170.165635716</c:v>
                </c:pt>
                <c:pt idx="35">
                  <c:v>10773656.731345793</c:v>
                </c:pt>
                <c:pt idx="36">
                  <c:v>10780143.115449302</c:v>
                </c:pt>
                <c:pt idx="37">
                  <c:v>10670379.483572511</c:v>
                </c:pt>
                <c:pt idx="38">
                  <c:v>10615995.668592127</c:v>
                </c:pt>
                <c:pt idx="39">
                  <c:v>10601092.790080849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B6C-4289-A28D-14D014C7EB54}"/>
            </c:ext>
          </c:extLst>
        </c:ser>
        <c:ser>
          <c:idx val="5"/>
          <c:order val="5"/>
          <c:tx>
            <c:strRef>
              <c:f>'A.3 Conversión'!$L$7</c:f>
              <c:strCache>
                <c:ptCount val="1"/>
                <c:pt idx="0">
                  <c:v>Cuota COP – sim. P95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'A.3 Conversión'!$A$8:$A$47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'A.3 Conversión'!$L$8:$L$47</c:f>
              <c:numCache>
                <c:formatCode>"COP "#,##0;"(COP "#,##0\);\-</c:formatCode>
                <c:ptCount val="40"/>
                <c:pt idx="0">
                  <c:v>17784896.588784389</c:v>
                </c:pt>
                <c:pt idx="1">
                  <c:v>18525209.825496469</c:v>
                </c:pt>
                <c:pt idx="2">
                  <c:v>19069517.197623204</c:v>
                </c:pt>
                <c:pt idx="3">
                  <c:v>19562390.374292746</c:v>
                </c:pt>
                <c:pt idx="4">
                  <c:v>20416124.401112031</c:v>
                </c:pt>
                <c:pt idx="5">
                  <c:v>21166429.855403133</c:v>
                </c:pt>
                <c:pt idx="6">
                  <c:v>21933653.249258302</c:v>
                </c:pt>
                <c:pt idx="7">
                  <c:v>22555924.639426101</c:v>
                </c:pt>
                <c:pt idx="8">
                  <c:v>23134021.893751584</c:v>
                </c:pt>
                <c:pt idx="9">
                  <c:v>23820800.449385379</c:v>
                </c:pt>
                <c:pt idx="10">
                  <c:v>24397435.111627769</c:v>
                </c:pt>
                <c:pt idx="11">
                  <c:v>24934327.786138691</c:v>
                </c:pt>
                <c:pt idx="12">
                  <c:v>25515705.650751337</c:v>
                </c:pt>
                <c:pt idx="13">
                  <c:v>26023870.265282217</c:v>
                </c:pt>
                <c:pt idx="14">
                  <c:v>26625899.503161833</c:v>
                </c:pt>
                <c:pt idx="15">
                  <c:v>27228672.867405556</c:v>
                </c:pt>
                <c:pt idx="16">
                  <c:v>27668694.749817096</c:v>
                </c:pt>
                <c:pt idx="17">
                  <c:v>28204008.255202066</c:v>
                </c:pt>
                <c:pt idx="18">
                  <c:v>28688023.077157781</c:v>
                </c:pt>
                <c:pt idx="19">
                  <c:v>29261395.839510087</c:v>
                </c:pt>
                <c:pt idx="20">
                  <c:v>29842137.302514356</c:v>
                </c:pt>
                <c:pt idx="21">
                  <c:v>30304951.309867583</c:v>
                </c:pt>
                <c:pt idx="22">
                  <c:v>30810432.2693705</c:v>
                </c:pt>
                <c:pt idx="23">
                  <c:v>31355226.712230686</c:v>
                </c:pt>
                <c:pt idx="24">
                  <c:v>31887899.267268807</c:v>
                </c:pt>
                <c:pt idx="25">
                  <c:v>32424520.842276607</c:v>
                </c:pt>
                <c:pt idx="26">
                  <c:v>32827064.767080709</c:v>
                </c:pt>
                <c:pt idx="27">
                  <c:v>33380405.21749514</c:v>
                </c:pt>
                <c:pt idx="28">
                  <c:v>33855511.747556999</c:v>
                </c:pt>
                <c:pt idx="29">
                  <c:v>34296414.830778502</c:v>
                </c:pt>
                <c:pt idx="30">
                  <c:v>34873621.622588165</c:v>
                </c:pt>
                <c:pt idx="31">
                  <c:v>35172724.713385038</c:v>
                </c:pt>
                <c:pt idx="32">
                  <c:v>35855167.01115822</c:v>
                </c:pt>
                <c:pt idx="33">
                  <c:v>36240077.284064464</c:v>
                </c:pt>
                <c:pt idx="34">
                  <c:v>36776565.054090723</c:v>
                </c:pt>
                <c:pt idx="35">
                  <c:v>37370342.823373698</c:v>
                </c:pt>
                <c:pt idx="36">
                  <c:v>38070158.136148371</c:v>
                </c:pt>
                <c:pt idx="37">
                  <c:v>38639611.922338434</c:v>
                </c:pt>
                <c:pt idx="38">
                  <c:v>39073890.499001674</c:v>
                </c:pt>
                <c:pt idx="39">
                  <c:v>39723545.486775853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B6C-4289-A28D-14D014C7E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282291"/>
        <c:axId val="20033751"/>
      </c:lineChart>
      <c:catAx>
        <c:axId val="752822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Trimestre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0033751"/>
        <c:crosses val="autoZero"/>
        <c:auto val="1"/>
        <c:lblAlgn val="ctr"/>
        <c:lblOffset val="100"/>
        <c:noMultiLvlLbl val="0"/>
      </c:catAx>
      <c:valAx>
        <c:axId val="200337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5282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5</xdr:row>
      <xdr:rowOff>160560</xdr:rowOff>
    </xdr:from>
    <xdr:to>
      <xdr:col>31</xdr:col>
      <xdr:colOff>581760</xdr:colOff>
      <xdr:row>20</xdr:row>
      <xdr:rowOff>123480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3" zoomScaleNormal="100" workbookViewId="0">
      <selection activeCell="A2" sqref="A2"/>
    </sheetView>
  </sheetViews>
  <sheetFormatPr baseColWidth="10" defaultColWidth="8.6640625" defaultRowHeight="14.4" x14ac:dyDescent="0.3"/>
  <cols>
    <col min="1" max="1" width="46" customWidth="1"/>
    <col min="2" max="2" width="20" customWidth="1"/>
    <col min="3" max="3" width="70" customWidth="1"/>
    <col min="4" max="4" width="18" customWidth="1"/>
    <col min="5" max="5" width="52" customWidth="1"/>
  </cols>
  <sheetData>
    <row r="1" spans="1:3" ht="17.25" customHeight="1" x14ac:dyDescent="0.3">
      <c r="A1" s="3" t="s">
        <v>0</v>
      </c>
    </row>
    <row r="2" spans="1:3" ht="15" customHeight="1" x14ac:dyDescent="0.3">
      <c r="A2" s="4"/>
    </row>
    <row r="3" spans="1:3" ht="15" customHeight="1" x14ac:dyDescent="0.3">
      <c r="A3" s="5" t="s">
        <v>1</v>
      </c>
      <c r="B3" s="5" t="s">
        <v>2</v>
      </c>
      <c r="C3" s="5" t="s">
        <v>3</v>
      </c>
    </row>
    <row r="4" spans="1:3" ht="15" customHeight="1" x14ac:dyDescent="0.3">
      <c r="A4" s="6" t="s">
        <v>4</v>
      </c>
      <c r="B4" s="81">
        <v>400000000</v>
      </c>
      <c r="C4" s="89"/>
    </row>
    <row r="5" spans="1:3" ht="15" customHeight="1" x14ac:dyDescent="0.3">
      <c r="A5" s="6" t="s">
        <v>5</v>
      </c>
      <c r="B5" s="84">
        <v>0.1</v>
      </c>
      <c r="C5" s="89"/>
    </row>
    <row r="6" spans="1:3" ht="15" customHeight="1" x14ac:dyDescent="0.3">
      <c r="A6" s="6" t="s">
        <v>6</v>
      </c>
      <c r="B6" s="81">
        <f>B4*B5</f>
        <v>40000000</v>
      </c>
      <c r="C6" s="7" t="s">
        <v>7</v>
      </c>
    </row>
    <row r="7" spans="1:3" ht="15" customHeight="1" x14ac:dyDescent="0.3">
      <c r="A7" s="6" t="s">
        <v>8</v>
      </c>
      <c r="B7" s="81">
        <f>B4-B6</f>
        <v>360000000</v>
      </c>
      <c r="C7" s="7" t="s">
        <v>7</v>
      </c>
    </row>
    <row r="8" spans="1:3" ht="45" customHeight="1" x14ac:dyDescent="0.3">
      <c r="A8" s="6" t="s">
        <v>9</v>
      </c>
      <c r="B8" s="87">
        <v>3174.67</v>
      </c>
      <c r="C8" s="7" t="s">
        <v>10</v>
      </c>
    </row>
    <row r="9" spans="1:3" ht="15" customHeight="1" x14ac:dyDescent="0.3">
      <c r="A9" s="6" t="s">
        <v>11</v>
      </c>
      <c r="B9" s="82">
        <f>B7/B8</f>
        <v>113397.61298024676</v>
      </c>
      <c r="C9" s="7"/>
    </row>
    <row r="10" spans="1:3" ht="15" customHeight="1" x14ac:dyDescent="0.3">
      <c r="A10" s="6" t="s">
        <v>12</v>
      </c>
      <c r="B10" s="83">
        <v>10</v>
      </c>
      <c r="C10" s="7"/>
    </row>
    <row r="11" spans="1:3" ht="15" customHeight="1" x14ac:dyDescent="0.3">
      <c r="A11" s="6" t="s">
        <v>13</v>
      </c>
      <c r="B11" s="83">
        <v>4</v>
      </c>
      <c r="C11" s="7"/>
    </row>
    <row r="12" spans="1:3" ht="15" customHeight="1" x14ac:dyDescent="0.3">
      <c r="A12" s="6" t="s">
        <v>14</v>
      </c>
      <c r="B12" s="83">
        <f>B10*B11</f>
        <v>40</v>
      </c>
      <c r="C12" s="7" t="s">
        <v>7</v>
      </c>
    </row>
    <row r="13" spans="1:3" ht="30" customHeight="1" x14ac:dyDescent="0.3">
      <c r="A13" s="6" t="s">
        <v>15</v>
      </c>
      <c r="B13" s="88">
        <v>7.0000000000000007E-2</v>
      </c>
      <c r="C13" s="7" t="s">
        <v>16</v>
      </c>
    </row>
    <row r="14" spans="1:3" ht="30" customHeight="1" x14ac:dyDescent="0.3">
      <c r="A14" s="6" t="s">
        <v>17</v>
      </c>
      <c r="B14" s="88">
        <v>0.06</v>
      </c>
      <c r="C14" s="7" t="s">
        <v>18</v>
      </c>
    </row>
    <row r="15" spans="1:3" ht="15" customHeight="1" x14ac:dyDescent="0.3">
      <c r="A15" s="6" t="s">
        <v>19</v>
      </c>
      <c r="B15" s="84">
        <f>B13+B14</f>
        <v>0.13</v>
      </c>
      <c r="C15" s="7" t="s">
        <v>20</v>
      </c>
    </row>
    <row r="16" spans="1:3" ht="15" customHeight="1" x14ac:dyDescent="0.3">
      <c r="A16" s="6" t="s">
        <v>21</v>
      </c>
      <c r="B16" s="85">
        <f>B15/B11</f>
        <v>3.2500000000000001E-2</v>
      </c>
      <c r="C16" s="7" t="s">
        <v>7</v>
      </c>
    </row>
    <row r="17" spans="1:5" ht="15" customHeight="1" x14ac:dyDescent="0.3">
      <c r="A17" s="6" t="s">
        <v>22</v>
      </c>
      <c r="B17" s="84">
        <f>(1+B16)^B11-1</f>
        <v>0.1364759281640624</v>
      </c>
      <c r="C17" s="7" t="s">
        <v>23</v>
      </c>
    </row>
    <row r="18" spans="1:5" ht="15" customHeight="1" x14ac:dyDescent="0.3">
      <c r="A18" s="9" t="s">
        <v>24</v>
      </c>
      <c r="B18" s="86">
        <f>PMT(B16,B12,-B9)</f>
        <v>5106.0609171583947</v>
      </c>
      <c r="C18" s="7" t="s">
        <v>25</v>
      </c>
    </row>
    <row r="19" spans="1:5" ht="15" customHeight="1" x14ac:dyDescent="0.3">
      <c r="A19" s="6" t="s">
        <v>26</v>
      </c>
      <c r="B19" s="82">
        <f>B18*B12</f>
        <v>204242.43668633577</v>
      </c>
      <c r="C19" s="7" t="s">
        <v>7</v>
      </c>
    </row>
    <row r="20" spans="1:5" ht="15" customHeight="1" x14ac:dyDescent="0.3">
      <c r="A20" s="6" t="s">
        <v>27</v>
      </c>
      <c r="B20" s="82">
        <f>B19-B9</f>
        <v>90844.82370608901</v>
      </c>
      <c r="C20" s="7" t="s">
        <v>7</v>
      </c>
    </row>
    <row r="23" spans="1:5" ht="15" customHeight="1" x14ac:dyDescent="0.3">
      <c r="A23" s="10" t="s">
        <v>28</v>
      </c>
    </row>
    <row r="24" spans="1:5" ht="15" customHeight="1" x14ac:dyDescent="0.3">
      <c r="A24" s="5" t="s">
        <v>29</v>
      </c>
      <c r="B24" s="5" t="s">
        <v>2</v>
      </c>
      <c r="C24" s="5" t="s">
        <v>30</v>
      </c>
      <c r="D24" s="5"/>
      <c r="E24" s="5" t="s">
        <v>32</v>
      </c>
    </row>
    <row r="25" spans="1:5" ht="61.5" customHeight="1" x14ac:dyDescent="0.3">
      <c r="A25" s="1" t="s">
        <v>33</v>
      </c>
      <c r="B25" s="1" t="s">
        <v>34</v>
      </c>
      <c r="C25" s="1" t="s">
        <v>35</v>
      </c>
      <c r="D25" s="1"/>
      <c r="E25" s="1" t="s">
        <v>36</v>
      </c>
    </row>
    <row r="26" spans="1:5" ht="61.5" customHeight="1" x14ac:dyDescent="0.3">
      <c r="A26" s="1" t="s">
        <v>37</v>
      </c>
      <c r="B26" s="1" t="s">
        <v>38</v>
      </c>
      <c r="C26" s="1" t="s">
        <v>39</v>
      </c>
      <c r="D26" s="1"/>
      <c r="E26" s="1" t="s">
        <v>40</v>
      </c>
    </row>
    <row r="27" spans="1:5" ht="61.5" customHeight="1" x14ac:dyDescent="0.3">
      <c r="A27" s="1" t="s">
        <v>41</v>
      </c>
      <c r="B27" s="1" t="s">
        <v>42</v>
      </c>
      <c r="C27" s="1" t="s">
        <v>43</v>
      </c>
      <c r="D27" s="1"/>
      <c r="E27" s="1" t="s">
        <v>44</v>
      </c>
    </row>
    <row r="28" spans="1:5" ht="61.5" customHeight="1" x14ac:dyDescent="0.3">
      <c r="A28" s="1" t="s">
        <v>45</v>
      </c>
      <c r="B28" s="1" t="s">
        <v>46</v>
      </c>
      <c r="C28" s="1" t="s">
        <v>47</v>
      </c>
      <c r="D28" s="1"/>
      <c r="E28" s="1" t="s">
        <v>48</v>
      </c>
    </row>
    <row r="29" spans="1:5" ht="61.5" customHeight="1" x14ac:dyDescent="0.3">
      <c r="A29" s="1" t="s">
        <v>49</v>
      </c>
      <c r="B29" s="1" t="s">
        <v>50</v>
      </c>
      <c r="C29" s="1" t="s">
        <v>51</v>
      </c>
      <c r="D29" s="1"/>
      <c r="E29" s="1" t="s">
        <v>52</v>
      </c>
    </row>
    <row r="30" spans="1:5" ht="61.5" customHeight="1" x14ac:dyDescent="0.3">
      <c r="A30" s="1" t="s">
        <v>53</v>
      </c>
      <c r="B30" s="1" t="s">
        <v>54</v>
      </c>
      <c r="C30" s="1" t="s">
        <v>55</v>
      </c>
      <c r="D30" s="1"/>
      <c r="E30" s="1" t="s">
        <v>56</v>
      </c>
    </row>
    <row r="31" spans="1:5" ht="61.5" customHeight="1" x14ac:dyDescent="0.3">
      <c r="A31" s="1" t="s">
        <v>57</v>
      </c>
      <c r="B31" s="1" t="s">
        <v>58</v>
      </c>
      <c r="C31" s="1" t="s">
        <v>59</v>
      </c>
      <c r="D31" s="1"/>
      <c r="E31" s="1" t="s">
        <v>60</v>
      </c>
    </row>
    <row r="32" spans="1:5" ht="61.5" customHeight="1" x14ac:dyDescent="0.3">
      <c r="A32" s="1" t="s">
        <v>61</v>
      </c>
      <c r="B32" s="1" t="s">
        <v>62</v>
      </c>
      <c r="C32" s="1" t="s">
        <v>63</v>
      </c>
      <c r="D32" s="1"/>
      <c r="E32" s="1" t="s">
        <v>64</v>
      </c>
    </row>
    <row r="33" spans="1:5" ht="15" customHeight="1" x14ac:dyDescent="0.3">
      <c r="A33" s="11"/>
      <c r="B33" s="11"/>
      <c r="C33" s="11"/>
      <c r="D33" s="11"/>
      <c r="E33" s="11"/>
    </row>
    <row r="34" spans="1:5" ht="15" customHeight="1" x14ac:dyDescent="0.3">
      <c r="A34" s="12"/>
      <c r="B34" s="11"/>
      <c r="C34" s="11"/>
      <c r="D34" s="11"/>
      <c r="E34" s="11"/>
    </row>
    <row r="35" spans="1:5" ht="31.5" customHeight="1" x14ac:dyDescent="0.3">
      <c r="A35" s="69"/>
      <c r="B35" s="69"/>
      <c r="C35" s="69"/>
      <c r="D35" s="69"/>
      <c r="E35" s="69"/>
    </row>
    <row r="36" spans="1:5" ht="31.5" customHeight="1" x14ac:dyDescent="0.3">
      <c r="A36" s="69"/>
      <c r="B36" s="69"/>
      <c r="C36" s="69"/>
      <c r="D36" s="69"/>
      <c r="E36" s="69"/>
    </row>
    <row r="37" spans="1:5" ht="31.5" customHeight="1" x14ac:dyDescent="0.3">
      <c r="A37" s="69"/>
      <c r="B37" s="69"/>
      <c r="C37" s="69"/>
      <c r="D37" s="69"/>
      <c r="E37" s="69"/>
    </row>
    <row r="38" spans="1:5" ht="31.5" customHeight="1" x14ac:dyDescent="0.3">
      <c r="A38" s="69"/>
      <c r="B38" s="69"/>
      <c r="C38" s="69"/>
      <c r="D38" s="69"/>
      <c r="E38" s="69"/>
    </row>
    <row r="39" spans="1:5" ht="31.5" customHeight="1" x14ac:dyDescent="0.3">
      <c r="A39" s="69"/>
      <c r="B39" s="69"/>
      <c r="C39" s="69"/>
      <c r="D39" s="69"/>
      <c r="E39" s="69"/>
    </row>
    <row r="40" spans="1:5" x14ac:dyDescent="0.3">
      <c r="A40" s="11"/>
      <c r="B40" s="11"/>
      <c r="C40" s="11"/>
      <c r="D40" s="11"/>
      <c r="E40" s="11"/>
    </row>
    <row r="41" spans="1:5" x14ac:dyDescent="0.3">
      <c r="A41" s="11"/>
      <c r="B41" s="11"/>
      <c r="C41" s="11"/>
      <c r="D41" s="11"/>
      <c r="E41" s="11"/>
    </row>
    <row r="42" spans="1:5" x14ac:dyDescent="0.3">
      <c r="A42" s="11"/>
      <c r="B42" s="11"/>
      <c r="C42" s="11"/>
      <c r="D42" s="11"/>
      <c r="E42" s="11"/>
    </row>
    <row r="43" spans="1:5" x14ac:dyDescent="0.3">
      <c r="A43" s="11"/>
      <c r="B43" s="11"/>
      <c r="C43" s="11"/>
      <c r="D43" s="11"/>
      <c r="E43" s="11"/>
    </row>
    <row r="44" spans="1:5" x14ac:dyDescent="0.3">
      <c r="A44" s="11"/>
      <c r="B44" s="11"/>
      <c r="C44" s="11"/>
      <c r="D44" s="11"/>
      <c r="E44" s="11"/>
    </row>
    <row r="45" spans="1:5" x14ac:dyDescent="0.3">
      <c r="A45" s="11"/>
      <c r="B45" s="11"/>
      <c r="C45" s="11"/>
      <c r="D45" s="11"/>
      <c r="E45" s="11"/>
    </row>
  </sheetData>
  <mergeCells count="5">
    <mergeCell ref="A35:E35"/>
    <mergeCell ref="A36:E36"/>
    <mergeCell ref="A37:E37"/>
    <mergeCell ref="A38:E38"/>
    <mergeCell ref="A39:E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zoomScaleNormal="100" workbookViewId="0">
      <pane ySplit="4" topLeftCell="A13" activePane="bottomLeft" state="frozen"/>
      <selection pane="bottomLeft" activeCell="A48" sqref="A48"/>
    </sheetView>
  </sheetViews>
  <sheetFormatPr baseColWidth="10" defaultColWidth="8.6640625" defaultRowHeight="14.4" x14ac:dyDescent="0.3"/>
  <cols>
    <col min="1" max="1" width="11" customWidth="1"/>
    <col min="2" max="2" width="8" customWidth="1"/>
    <col min="3" max="3" width="20" customWidth="1"/>
    <col min="4" max="5" width="16" customWidth="1"/>
    <col min="6" max="6" width="22" customWidth="1"/>
    <col min="7" max="7" width="20" customWidth="1"/>
  </cols>
  <sheetData>
    <row r="1" spans="1:7" ht="17.25" customHeight="1" x14ac:dyDescent="0.3">
      <c r="A1" s="3" t="s">
        <v>67</v>
      </c>
    </row>
    <row r="2" spans="1:7" ht="15" customHeight="1" x14ac:dyDescent="0.3">
      <c r="A2" s="4" t="s">
        <v>68</v>
      </c>
    </row>
    <row r="4" spans="1:7" ht="31.5" customHeight="1" x14ac:dyDescent="0.3">
      <c r="A4" s="21" t="s">
        <v>69</v>
      </c>
      <c r="B4" s="21" t="s">
        <v>70</v>
      </c>
      <c r="C4" s="21" t="s">
        <v>71</v>
      </c>
      <c r="D4" s="21" t="s">
        <v>72</v>
      </c>
      <c r="E4" s="21" t="s">
        <v>73</v>
      </c>
      <c r="F4" s="21" t="s">
        <v>74</v>
      </c>
      <c r="G4" s="21" t="s">
        <v>75</v>
      </c>
    </row>
    <row r="5" spans="1:7" ht="15" customHeight="1" x14ac:dyDescent="0.3">
      <c r="A5" s="22">
        <v>1</v>
      </c>
      <c r="B5" s="22">
        <f>ROUNDUP(A5/Supuestos!$B$11,0)</f>
        <v>1</v>
      </c>
      <c r="C5" s="8">
        <f>Supuestos!$B$9</f>
        <v>113397.61298024676</v>
      </c>
      <c r="D5" s="8">
        <f>Supuestos!$B$18</f>
        <v>5106.0609171583947</v>
      </c>
      <c r="E5" s="8">
        <f>C5*Supuestos!$B$16</f>
        <v>3685.4224218580198</v>
      </c>
      <c r="F5" s="8">
        <f t="shared" ref="F5:F44" si="0">D5-E5</f>
        <v>1420.6384953003749</v>
      </c>
      <c r="G5" s="8">
        <f t="shared" ref="G5:G44" si="1">C5-F5</f>
        <v>111976.97448494639</v>
      </c>
    </row>
    <row r="6" spans="1:7" ht="15" customHeight="1" x14ac:dyDescent="0.3">
      <c r="A6" s="22">
        <v>2</v>
      </c>
      <c r="B6" s="22">
        <f>ROUNDUP(A6/Supuestos!$B$11,0)</f>
        <v>1</v>
      </c>
      <c r="C6" s="8">
        <f t="shared" ref="C6:C44" si="2">G5</f>
        <v>111976.97448494639</v>
      </c>
      <c r="D6" s="8">
        <f>Supuestos!$B$18</f>
        <v>5106.0609171583947</v>
      </c>
      <c r="E6" s="8">
        <f>C6*Supuestos!$B$16</f>
        <v>3639.2516707607579</v>
      </c>
      <c r="F6" s="8">
        <f t="shared" si="0"/>
        <v>1466.8092463976368</v>
      </c>
      <c r="G6" s="8">
        <f t="shared" si="1"/>
        <v>110510.16523854875</v>
      </c>
    </row>
    <row r="7" spans="1:7" ht="15" customHeight="1" x14ac:dyDescent="0.3">
      <c r="A7" s="22">
        <v>3</v>
      </c>
      <c r="B7" s="22">
        <f>ROUNDUP(A7/Supuestos!$B$11,0)</f>
        <v>1</v>
      </c>
      <c r="C7" s="8">
        <f t="shared" si="2"/>
        <v>110510.16523854875</v>
      </c>
      <c r="D7" s="8">
        <f>Supuestos!$B$18</f>
        <v>5106.0609171583947</v>
      </c>
      <c r="E7" s="8">
        <f>C7*Supuestos!$B$16</f>
        <v>3591.5803702528347</v>
      </c>
      <c r="F7" s="8">
        <f t="shared" si="0"/>
        <v>1514.48054690556</v>
      </c>
      <c r="G7" s="8">
        <f t="shared" si="1"/>
        <v>108995.6846916432</v>
      </c>
    </row>
    <row r="8" spans="1:7" ht="15" customHeight="1" x14ac:dyDescent="0.3">
      <c r="A8" s="22">
        <v>4</v>
      </c>
      <c r="B8" s="22">
        <f>ROUNDUP(A8/Supuestos!$B$11,0)</f>
        <v>1</v>
      </c>
      <c r="C8" s="8">
        <f t="shared" si="2"/>
        <v>108995.6846916432</v>
      </c>
      <c r="D8" s="8">
        <f>Supuestos!$B$18</f>
        <v>5106.0609171583947</v>
      </c>
      <c r="E8" s="8">
        <f>C8*Supuestos!$B$16</f>
        <v>3542.3597524784041</v>
      </c>
      <c r="F8" s="8">
        <f t="shared" si="0"/>
        <v>1563.7011646799906</v>
      </c>
      <c r="G8" s="8">
        <f t="shared" si="1"/>
        <v>107431.9835269632</v>
      </c>
    </row>
    <row r="9" spans="1:7" ht="15" customHeight="1" x14ac:dyDescent="0.3">
      <c r="A9" s="22">
        <v>5</v>
      </c>
      <c r="B9" s="22">
        <f>ROUNDUP(A9/Supuestos!$B$11,0)</f>
        <v>2</v>
      </c>
      <c r="C9" s="8">
        <f t="shared" si="2"/>
        <v>107431.9835269632</v>
      </c>
      <c r="D9" s="8">
        <f>Supuestos!$B$18</f>
        <v>5106.0609171583947</v>
      </c>
      <c r="E9" s="8">
        <f>C9*Supuestos!$B$16</f>
        <v>3491.5394646263044</v>
      </c>
      <c r="F9" s="8">
        <f t="shared" si="0"/>
        <v>1614.5214525320903</v>
      </c>
      <c r="G9" s="8">
        <f t="shared" si="1"/>
        <v>105817.46207443111</v>
      </c>
    </row>
    <row r="10" spans="1:7" ht="15" customHeight="1" x14ac:dyDescent="0.3">
      <c r="A10" s="22">
        <v>6</v>
      </c>
      <c r="B10" s="22">
        <f>ROUNDUP(A10/Supuestos!$B$11,0)</f>
        <v>2</v>
      </c>
      <c r="C10" s="8">
        <f t="shared" si="2"/>
        <v>105817.46207443111</v>
      </c>
      <c r="D10" s="8">
        <f>Supuestos!$B$18</f>
        <v>5106.0609171583947</v>
      </c>
      <c r="E10" s="8">
        <f>C10*Supuestos!$B$16</f>
        <v>3439.067517419011</v>
      </c>
      <c r="F10" s="8">
        <f t="shared" si="0"/>
        <v>1666.9933997393837</v>
      </c>
      <c r="G10" s="8">
        <f t="shared" si="1"/>
        <v>104150.46867469173</v>
      </c>
    </row>
    <row r="11" spans="1:7" ht="15" customHeight="1" x14ac:dyDescent="0.3">
      <c r="A11" s="22">
        <v>7</v>
      </c>
      <c r="B11" s="22">
        <f>ROUNDUP(A11/Supuestos!$B$11,0)</f>
        <v>2</v>
      </c>
      <c r="C11" s="8">
        <f t="shared" si="2"/>
        <v>104150.46867469173</v>
      </c>
      <c r="D11" s="8">
        <f>Supuestos!$B$18</f>
        <v>5106.0609171583947</v>
      </c>
      <c r="E11" s="8">
        <f>C11*Supuestos!$B$16</f>
        <v>3384.8902319274812</v>
      </c>
      <c r="F11" s="8">
        <f t="shared" si="0"/>
        <v>1721.1706852309135</v>
      </c>
      <c r="G11" s="8">
        <f t="shared" si="1"/>
        <v>102429.29798946081</v>
      </c>
    </row>
    <row r="12" spans="1:7" ht="15" customHeight="1" x14ac:dyDescent="0.3">
      <c r="A12" s="22">
        <v>8</v>
      </c>
      <c r="B12" s="22">
        <f>ROUNDUP(A12/Supuestos!$B$11,0)</f>
        <v>2</v>
      </c>
      <c r="C12" s="8">
        <f t="shared" si="2"/>
        <v>102429.29798946081</v>
      </c>
      <c r="D12" s="8">
        <f>Supuestos!$B$18</f>
        <v>5106.0609171583947</v>
      </c>
      <c r="E12" s="8">
        <f>C12*Supuestos!$B$16</f>
        <v>3328.9521846574767</v>
      </c>
      <c r="F12" s="8">
        <f t="shared" si="0"/>
        <v>1777.108732500918</v>
      </c>
      <c r="G12" s="8">
        <f t="shared" si="1"/>
        <v>100652.1892569599</v>
      </c>
    </row>
    <row r="13" spans="1:7" ht="15" customHeight="1" x14ac:dyDescent="0.3">
      <c r="A13" s="22">
        <v>9</v>
      </c>
      <c r="B13" s="22">
        <f>ROUNDUP(A13/Supuestos!$B$11,0)</f>
        <v>3</v>
      </c>
      <c r="C13" s="8">
        <f t="shared" si="2"/>
        <v>100652.1892569599</v>
      </c>
      <c r="D13" s="8">
        <f>Supuestos!$B$18</f>
        <v>5106.0609171583947</v>
      </c>
      <c r="E13" s="8">
        <f>C13*Supuestos!$B$16</f>
        <v>3271.1961508511968</v>
      </c>
      <c r="F13" s="8">
        <f t="shared" si="0"/>
        <v>1834.8647663071979</v>
      </c>
      <c r="G13" s="8">
        <f t="shared" si="1"/>
        <v>98817.324490652696</v>
      </c>
    </row>
    <row r="14" spans="1:7" ht="15" customHeight="1" x14ac:dyDescent="0.3">
      <c r="A14" s="22">
        <v>10</v>
      </c>
      <c r="B14" s="22">
        <f>ROUNDUP(A14/Supuestos!$B$11,0)</f>
        <v>3</v>
      </c>
      <c r="C14" s="8">
        <f t="shared" si="2"/>
        <v>98817.324490652696</v>
      </c>
      <c r="D14" s="8">
        <f>Supuestos!$B$18</f>
        <v>5106.0609171583947</v>
      </c>
      <c r="E14" s="8">
        <f>C14*Supuestos!$B$16</f>
        <v>3211.5630459462127</v>
      </c>
      <c r="F14" s="8">
        <f t="shared" si="0"/>
        <v>1894.497871212182</v>
      </c>
      <c r="G14" s="8">
        <f t="shared" si="1"/>
        <v>96922.826619440515</v>
      </c>
    </row>
    <row r="15" spans="1:7" ht="15" customHeight="1" x14ac:dyDescent="0.3">
      <c r="A15" s="22">
        <v>11</v>
      </c>
      <c r="B15" s="22">
        <f>ROUNDUP(A15/Supuestos!$B$11,0)</f>
        <v>3</v>
      </c>
      <c r="C15" s="8">
        <f t="shared" si="2"/>
        <v>96922.826619440515</v>
      </c>
      <c r="D15" s="8">
        <f>Supuestos!$B$18</f>
        <v>5106.0609171583947</v>
      </c>
      <c r="E15" s="8">
        <f>C15*Supuestos!$B$16</f>
        <v>3149.9918651318167</v>
      </c>
      <c r="F15" s="8">
        <f t="shared" si="0"/>
        <v>1956.069052026578</v>
      </c>
      <c r="G15" s="8">
        <f t="shared" si="1"/>
        <v>94966.757567413937</v>
      </c>
    </row>
    <row r="16" spans="1:7" ht="15" customHeight="1" x14ac:dyDescent="0.3">
      <c r="A16" s="22">
        <v>12</v>
      </c>
      <c r="B16" s="22">
        <f>ROUNDUP(A16/Supuestos!$B$11,0)</f>
        <v>3</v>
      </c>
      <c r="C16" s="8">
        <f t="shared" si="2"/>
        <v>94966.757567413937</v>
      </c>
      <c r="D16" s="8">
        <f>Supuestos!$B$18</f>
        <v>5106.0609171583947</v>
      </c>
      <c r="E16" s="8">
        <f>C16*Supuestos!$B$16</f>
        <v>3086.4196209409529</v>
      </c>
      <c r="F16" s="8">
        <f t="shared" si="0"/>
        <v>2019.6412962174418</v>
      </c>
      <c r="G16" s="8">
        <f t="shared" si="1"/>
        <v>92947.116271196501</v>
      </c>
    </row>
    <row r="17" spans="1:7" ht="15" customHeight="1" x14ac:dyDescent="0.3">
      <c r="A17" s="22">
        <v>13</v>
      </c>
      <c r="B17" s="22">
        <f>ROUNDUP(A17/Supuestos!$B$11,0)</f>
        <v>4</v>
      </c>
      <c r="C17" s="8">
        <f t="shared" si="2"/>
        <v>92947.116271196501</v>
      </c>
      <c r="D17" s="8">
        <f>Supuestos!$B$18</f>
        <v>5106.0609171583947</v>
      </c>
      <c r="E17" s="8">
        <f>C17*Supuestos!$B$16</f>
        <v>3020.7812788138863</v>
      </c>
      <c r="F17" s="8">
        <f t="shared" si="0"/>
        <v>2085.2796383445084</v>
      </c>
      <c r="G17" s="8">
        <f t="shared" si="1"/>
        <v>90861.836632851991</v>
      </c>
    </row>
    <row r="18" spans="1:7" ht="15" customHeight="1" x14ac:dyDescent="0.3">
      <c r="A18" s="22">
        <v>14</v>
      </c>
      <c r="B18" s="22">
        <f>ROUNDUP(A18/Supuestos!$B$11,0)</f>
        <v>4</v>
      </c>
      <c r="C18" s="8">
        <f t="shared" si="2"/>
        <v>90861.836632851991</v>
      </c>
      <c r="D18" s="8">
        <f>Supuestos!$B$18</f>
        <v>5106.0609171583947</v>
      </c>
      <c r="E18" s="8">
        <f>C18*Supuestos!$B$16</f>
        <v>2953.0096905676896</v>
      </c>
      <c r="F18" s="8">
        <f t="shared" si="0"/>
        <v>2153.051226590705</v>
      </c>
      <c r="G18" s="8">
        <f t="shared" si="1"/>
        <v>88708.78540626129</v>
      </c>
    </row>
    <row r="19" spans="1:7" ht="15" customHeight="1" x14ac:dyDescent="0.3">
      <c r="A19" s="22">
        <v>15</v>
      </c>
      <c r="B19" s="22">
        <f>ROUNDUP(A19/Supuestos!$B$11,0)</f>
        <v>4</v>
      </c>
      <c r="C19" s="8">
        <f t="shared" si="2"/>
        <v>88708.78540626129</v>
      </c>
      <c r="D19" s="8">
        <f>Supuestos!$B$18</f>
        <v>5106.0609171583947</v>
      </c>
      <c r="E19" s="8">
        <f>C19*Supuestos!$B$16</f>
        <v>2883.0355257034921</v>
      </c>
      <c r="F19" s="8">
        <f t="shared" si="0"/>
        <v>2223.0253914549025</v>
      </c>
      <c r="G19" s="8">
        <f t="shared" si="1"/>
        <v>86485.760014806394</v>
      </c>
    </row>
    <row r="20" spans="1:7" ht="15" customHeight="1" x14ac:dyDescent="0.3">
      <c r="A20" s="22">
        <v>16</v>
      </c>
      <c r="B20" s="22">
        <f>ROUNDUP(A20/Supuestos!$B$11,0)</f>
        <v>4</v>
      </c>
      <c r="C20" s="8">
        <f t="shared" si="2"/>
        <v>86485.760014806394</v>
      </c>
      <c r="D20" s="8">
        <f>Supuestos!$B$18</f>
        <v>5106.0609171583947</v>
      </c>
      <c r="E20" s="8">
        <f>C20*Supuestos!$B$16</f>
        <v>2810.7872004812079</v>
      </c>
      <c r="F20" s="8">
        <f t="shared" si="0"/>
        <v>2295.2737166771867</v>
      </c>
      <c r="G20" s="8">
        <f t="shared" si="1"/>
        <v>84190.48629812921</v>
      </c>
    </row>
    <row r="21" spans="1:7" ht="15" customHeight="1" x14ac:dyDescent="0.3">
      <c r="A21" s="22">
        <v>17</v>
      </c>
      <c r="B21" s="22">
        <f>ROUNDUP(A21/Supuestos!$B$11,0)</f>
        <v>5</v>
      </c>
      <c r="C21" s="8">
        <f t="shared" si="2"/>
        <v>84190.48629812921</v>
      </c>
      <c r="D21" s="8">
        <f>Supuestos!$B$18</f>
        <v>5106.0609171583947</v>
      </c>
      <c r="E21" s="8">
        <f>C21*Supuestos!$B$16</f>
        <v>2736.1908046891995</v>
      </c>
      <c r="F21" s="8">
        <f t="shared" si="0"/>
        <v>2369.8701124691952</v>
      </c>
      <c r="G21" s="8">
        <f t="shared" si="1"/>
        <v>81820.616185660008</v>
      </c>
    </row>
    <row r="22" spans="1:7" ht="15" customHeight="1" x14ac:dyDescent="0.3">
      <c r="A22" s="22">
        <v>18</v>
      </c>
      <c r="B22" s="22">
        <f>ROUNDUP(A22/Supuestos!$B$11,0)</f>
        <v>5</v>
      </c>
      <c r="C22" s="8">
        <f t="shared" si="2"/>
        <v>81820.616185660008</v>
      </c>
      <c r="D22" s="8">
        <f>Supuestos!$B$18</f>
        <v>5106.0609171583947</v>
      </c>
      <c r="E22" s="8">
        <f>C22*Supuestos!$B$16</f>
        <v>2659.1700260339503</v>
      </c>
      <c r="F22" s="8">
        <f t="shared" si="0"/>
        <v>2446.8908911244444</v>
      </c>
      <c r="G22" s="8">
        <f t="shared" si="1"/>
        <v>79373.725294535558</v>
      </c>
    </row>
    <row r="23" spans="1:7" ht="15" customHeight="1" x14ac:dyDescent="0.3">
      <c r="A23" s="22">
        <v>19</v>
      </c>
      <c r="B23" s="22">
        <f>ROUNDUP(A23/Supuestos!$B$11,0)</f>
        <v>5</v>
      </c>
      <c r="C23" s="8">
        <f t="shared" si="2"/>
        <v>79373.725294535558</v>
      </c>
      <c r="D23" s="8">
        <f>Supuestos!$B$18</f>
        <v>5106.0609171583947</v>
      </c>
      <c r="E23" s="8">
        <f>C23*Supuestos!$B$16</f>
        <v>2579.6460720724058</v>
      </c>
      <c r="F23" s="8">
        <f t="shared" si="0"/>
        <v>2526.4148450859889</v>
      </c>
      <c r="G23" s="8">
        <f t="shared" si="1"/>
        <v>76847.310449449564</v>
      </c>
    </row>
    <row r="24" spans="1:7" ht="15" customHeight="1" x14ac:dyDescent="0.3">
      <c r="A24" s="22">
        <v>20</v>
      </c>
      <c r="B24" s="22">
        <f>ROUNDUP(A24/Supuestos!$B$11,0)</f>
        <v>5</v>
      </c>
      <c r="C24" s="8">
        <f t="shared" si="2"/>
        <v>76847.310449449564</v>
      </c>
      <c r="D24" s="8">
        <f>Supuestos!$B$18</f>
        <v>5106.0609171583947</v>
      </c>
      <c r="E24" s="8">
        <f>C24*Supuestos!$B$16</f>
        <v>2497.5375896071109</v>
      </c>
      <c r="F24" s="8">
        <f t="shared" si="0"/>
        <v>2608.5233275512837</v>
      </c>
      <c r="G24" s="8">
        <f t="shared" si="1"/>
        <v>74238.787121898276</v>
      </c>
    </row>
    <row r="25" spans="1:7" ht="15" customHeight="1" x14ac:dyDescent="0.3">
      <c r="A25" s="22">
        <v>21</v>
      </c>
      <c r="B25" s="22">
        <f>ROUNDUP(A25/Supuestos!$B$11,0)</f>
        <v>6</v>
      </c>
      <c r="C25" s="8">
        <f t="shared" si="2"/>
        <v>74238.787121898276</v>
      </c>
      <c r="D25" s="8">
        <f>Supuestos!$B$18</f>
        <v>5106.0609171583947</v>
      </c>
      <c r="E25" s="8">
        <f>C25*Supuestos!$B$16</f>
        <v>2412.7605814616941</v>
      </c>
      <c r="F25" s="8">
        <f t="shared" si="0"/>
        <v>2693.3003356967006</v>
      </c>
      <c r="G25" s="8">
        <f t="shared" si="1"/>
        <v>71545.486786201582</v>
      </c>
    </row>
    <row r="26" spans="1:7" ht="15" customHeight="1" x14ac:dyDescent="0.3">
      <c r="A26" s="22">
        <v>22</v>
      </c>
      <c r="B26" s="22">
        <f>ROUNDUP(A26/Supuestos!$B$11,0)</f>
        <v>6</v>
      </c>
      <c r="C26" s="8">
        <f t="shared" si="2"/>
        <v>71545.486786201582</v>
      </c>
      <c r="D26" s="8">
        <f>Supuestos!$B$18</f>
        <v>5106.0609171583947</v>
      </c>
      <c r="E26" s="8">
        <f>C26*Supuestos!$B$16</f>
        <v>2325.2283205515514</v>
      </c>
      <c r="F26" s="8">
        <f t="shared" si="0"/>
        <v>2780.8325966068433</v>
      </c>
      <c r="G26" s="8">
        <f t="shared" si="1"/>
        <v>68764.654189594745</v>
      </c>
    </row>
    <row r="27" spans="1:7" ht="15" customHeight="1" x14ac:dyDescent="0.3">
      <c r="A27" s="22">
        <v>23</v>
      </c>
      <c r="B27" s="22">
        <f>ROUNDUP(A27/Supuestos!$B$11,0)</f>
        <v>6</v>
      </c>
      <c r="C27" s="8">
        <f t="shared" si="2"/>
        <v>68764.654189594745</v>
      </c>
      <c r="D27" s="8">
        <f>Supuestos!$B$18</f>
        <v>5106.0609171583947</v>
      </c>
      <c r="E27" s="8">
        <f>C27*Supuestos!$B$16</f>
        <v>2234.8512611618294</v>
      </c>
      <c r="F27" s="8">
        <f t="shared" si="0"/>
        <v>2871.2096559965653</v>
      </c>
      <c r="G27" s="8">
        <f t="shared" si="1"/>
        <v>65893.444533598173</v>
      </c>
    </row>
    <row r="28" spans="1:7" ht="15" customHeight="1" x14ac:dyDescent="0.3">
      <c r="A28" s="22">
        <v>24</v>
      </c>
      <c r="B28" s="22">
        <f>ROUNDUP(A28/Supuestos!$B$11,0)</f>
        <v>6</v>
      </c>
      <c r="C28" s="8">
        <f t="shared" si="2"/>
        <v>65893.444533598173</v>
      </c>
      <c r="D28" s="8">
        <f>Supuestos!$B$18</f>
        <v>5106.0609171583947</v>
      </c>
      <c r="E28" s="8">
        <f>C28*Supuestos!$B$16</f>
        <v>2141.5369473419405</v>
      </c>
      <c r="F28" s="8">
        <f t="shared" si="0"/>
        <v>2964.5239698164542</v>
      </c>
      <c r="G28" s="8">
        <f t="shared" si="1"/>
        <v>62928.920563781721</v>
      </c>
    </row>
    <row r="29" spans="1:7" ht="15" customHeight="1" x14ac:dyDescent="0.3">
      <c r="A29" s="22">
        <v>25</v>
      </c>
      <c r="B29" s="22">
        <f>ROUNDUP(A29/Supuestos!$B$11,0)</f>
        <v>7</v>
      </c>
      <c r="C29" s="8">
        <f t="shared" si="2"/>
        <v>62928.920563781721</v>
      </c>
      <c r="D29" s="8">
        <f>Supuestos!$B$18</f>
        <v>5106.0609171583947</v>
      </c>
      <c r="E29" s="8">
        <f>C29*Supuestos!$B$16</f>
        <v>2045.1899183229061</v>
      </c>
      <c r="F29" s="8">
        <f t="shared" si="0"/>
        <v>3060.8709988354885</v>
      </c>
      <c r="G29" s="8">
        <f t="shared" si="1"/>
        <v>59868.049564946232</v>
      </c>
    </row>
    <row r="30" spans="1:7" ht="15" customHeight="1" x14ac:dyDescent="0.3">
      <c r="A30" s="22">
        <v>26</v>
      </c>
      <c r="B30" s="22">
        <f>ROUNDUP(A30/Supuestos!$B$11,0)</f>
        <v>7</v>
      </c>
      <c r="C30" s="8">
        <f t="shared" si="2"/>
        <v>59868.049564946232</v>
      </c>
      <c r="D30" s="8">
        <f>Supuestos!$B$18</f>
        <v>5106.0609171583947</v>
      </c>
      <c r="E30" s="8">
        <f>C30*Supuestos!$B$16</f>
        <v>1945.7116108607527</v>
      </c>
      <c r="F30" s="8">
        <f t="shared" si="0"/>
        <v>3160.3493062976422</v>
      </c>
      <c r="G30" s="8">
        <f t="shared" si="1"/>
        <v>56707.700258648591</v>
      </c>
    </row>
    <row r="31" spans="1:7" ht="15" customHeight="1" x14ac:dyDescent="0.3">
      <c r="A31" s="22">
        <v>27</v>
      </c>
      <c r="B31" s="22">
        <f>ROUNDUP(A31/Supuestos!$B$11,0)</f>
        <v>7</v>
      </c>
      <c r="C31" s="8">
        <f t="shared" si="2"/>
        <v>56707.700258648591</v>
      </c>
      <c r="D31" s="8">
        <f>Supuestos!$B$18</f>
        <v>5106.0609171583947</v>
      </c>
      <c r="E31" s="8">
        <f>C31*Supuestos!$B$16</f>
        <v>1843.0002584060792</v>
      </c>
      <c r="F31" s="8">
        <f t="shared" si="0"/>
        <v>3263.0606587523152</v>
      </c>
      <c r="G31" s="8">
        <f t="shared" si="1"/>
        <v>53444.639599896276</v>
      </c>
    </row>
    <row r="32" spans="1:7" ht="15" customHeight="1" x14ac:dyDescent="0.3">
      <c r="A32" s="22">
        <v>28</v>
      </c>
      <c r="B32" s="22">
        <f>ROUNDUP(A32/Supuestos!$B$11,0)</f>
        <v>7</v>
      </c>
      <c r="C32" s="8">
        <f t="shared" si="2"/>
        <v>53444.639599896276</v>
      </c>
      <c r="D32" s="8">
        <f>Supuestos!$B$18</f>
        <v>5106.0609171583947</v>
      </c>
      <c r="E32" s="8">
        <f>C32*Supuestos!$B$16</f>
        <v>1736.9507869966289</v>
      </c>
      <c r="F32" s="8">
        <f t="shared" si="0"/>
        <v>3369.1101301617655</v>
      </c>
      <c r="G32" s="8">
        <f t="shared" si="1"/>
        <v>50075.529469734509</v>
      </c>
    </row>
    <row r="33" spans="1:7" ht="15" customHeight="1" x14ac:dyDescent="0.3">
      <c r="A33" s="22">
        <v>29</v>
      </c>
      <c r="B33" s="22">
        <f>ROUNDUP(A33/Supuestos!$B$11,0)</f>
        <v>8</v>
      </c>
      <c r="C33" s="8">
        <f t="shared" si="2"/>
        <v>50075.529469734509</v>
      </c>
      <c r="D33" s="8">
        <f>Supuestos!$B$18</f>
        <v>5106.0609171583947</v>
      </c>
      <c r="E33" s="8">
        <f>C33*Supuestos!$B$16</f>
        <v>1627.4547077663715</v>
      </c>
      <c r="F33" s="8">
        <f t="shared" si="0"/>
        <v>3478.6062093920232</v>
      </c>
      <c r="G33" s="8">
        <f t="shared" si="1"/>
        <v>46596.923260342483</v>
      </c>
    </row>
    <row r="34" spans="1:7" ht="15" customHeight="1" x14ac:dyDescent="0.3">
      <c r="A34" s="22">
        <v>30</v>
      </c>
      <c r="B34" s="22">
        <f>ROUNDUP(A34/Supuestos!$B$11,0)</f>
        <v>8</v>
      </c>
      <c r="C34" s="8">
        <f t="shared" si="2"/>
        <v>46596.923260342483</v>
      </c>
      <c r="D34" s="8">
        <f>Supuestos!$B$18</f>
        <v>5106.0609171583947</v>
      </c>
      <c r="E34" s="8">
        <f>C34*Supuestos!$B$16</f>
        <v>1514.4000059611308</v>
      </c>
      <c r="F34" s="8">
        <f t="shared" si="0"/>
        <v>3591.6609111972639</v>
      </c>
      <c r="G34" s="8">
        <f t="shared" si="1"/>
        <v>43005.262349145218</v>
      </c>
    </row>
    <row r="35" spans="1:7" ht="15" customHeight="1" x14ac:dyDescent="0.3">
      <c r="A35" s="22">
        <v>31</v>
      </c>
      <c r="B35" s="22">
        <f>ROUNDUP(A35/Supuestos!$B$11,0)</f>
        <v>8</v>
      </c>
      <c r="C35" s="8">
        <f t="shared" si="2"/>
        <v>43005.262349145218</v>
      </c>
      <c r="D35" s="8">
        <f>Supuestos!$B$18</f>
        <v>5106.0609171583947</v>
      </c>
      <c r="E35" s="8">
        <f>C35*Supuestos!$B$16</f>
        <v>1397.6710263472196</v>
      </c>
      <c r="F35" s="8">
        <f t="shared" si="0"/>
        <v>3708.3898908111751</v>
      </c>
      <c r="G35" s="8">
        <f t="shared" si="1"/>
        <v>39296.872458334044</v>
      </c>
    </row>
    <row r="36" spans="1:7" ht="15" customHeight="1" x14ac:dyDescent="0.3">
      <c r="A36" s="22">
        <v>32</v>
      </c>
      <c r="B36" s="22">
        <f>ROUNDUP(A36/Supuestos!$B$11,0)</f>
        <v>8</v>
      </c>
      <c r="C36" s="8">
        <f t="shared" si="2"/>
        <v>39296.872458334044</v>
      </c>
      <c r="D36" s="8">
        <f>Supuestos!$B$18</f>
        <v>5106.0609171583947</v>
      </c>
      <c r="E36" s="8">
        <f>C36*Supuestos!$B$16</f>
        <v>1277.1483548958565</v>
      </c>
      <c r="F36" s="8">
        <f t="shared" si="0"/>
        <v>3828.9125622625379</v>
      </c>
      <c r="G36" s="8">
        <f t="shared" si="1"/>
        <v>35467.959896071508</v>
      </c>
    </row>
    <row r="37" spans="1:7" ht="15" customHeight="1" x14ac:dyDescent="0.3">
      <c r="A37" s="22">
        <v>33</v>
      </c>
      <c r="B37" s="22">
        <f>ROUNDUP(A37/Supuestos!$B$11,0)</f>
        <v>9</v>
      </c>
      <c r="C37" s="8">
        <f t="shared" si="2"/>
        <v>35467.959896071508</v>
      </c>
      <c r="D37" s="8">
        <f>Supuestos!$B$18</f>
        <v>5106.0609171583947</v>
      </c>
      <c r="E37" s="8">
        <f>C37*Supuestos!$B$16</f>
        <v>1152.7086966223242</v>
      </c>
      <c r="F37" s="8">
        <f t="shared" si="0"/>
        <v>3953.3522205360705</v>
      </c>
      <c r="G37" s="8">
        <f t="shared" si="1"/>
        <v>31514.607675535437</v>
      </c>
    </row>
    <row r="38" spans="1:7" ht="15" customHeight="1" x14ac:dyDescent="0.3">
      <c r="A38" s="22">
        <v>34</v>
      </c>
      <c r="B38" s="22">
        <f>ROUNDUP(A38/Supuestos!$B$11,0)</f>
        <v>9</v>
      </c>
      <c r="C38" s="8">
        <f t="shared" si="2"/>
        <v>31514.607675535437</v>
      </c>
      <c r="D38" s="8">
        <f>Supuestos!$B$18</f>
        <v>5106.0609171583947</v>
      </c>
      <c r="E38" s="8">
        <f>C38*Supuestos!$B$16</f>
        <v>1024.2247494549017</v>
      </c>
      <c r="F38" s="8">
        <f t="shared" si="0"/>
        <v>4081.8361677034927</v>
      </c>
      <c r="G38" s="8">
        <f t="shared" si="1"/>
        <v>27432.771507831945</v>
      </c>
    </row>
    <row r="39" spans="1:7" ht="15" customHeight="1" x14ac:dyDescent="0.3">
      <c r="A39" s="22">
        <v>35</v>
      </c>
      <c r="B39" s="22">
        <f>ROUNDUP(A39/Supuestos!$B$11,0)</f>
        <v>9</v>
      </c>
      <c r="C39" s="8">
        <f t="shared" si="2"/>
        <v>27432.771507831945</v>
      </c>
      <c r="D39" s="8">
        <f>Supuestos!$B$18</f>
        <v>5106.0609171583947</v>
      </c>
      <c r="E39" s="8">
        <f>C39*Supuestos!$B$16</f>
        <v>891.56507400453825</v>
      </c>
      <c r="F39" s="8">
        <f t="shared" si="0"/>
        <v>4214.4958431538562</v>
      </c>
      <c r="G39" s="8">
        <f t="shared" si="1"/>
        <v>23218.275664678091</v>
      </c>
    </row>
    <row r="40" spans="1:7" ht="15" customHeight="1" x14ac:dyDescent="0.3">
      <c r="A40" s="22">
        <v>36</v>
      </c>
      <c r="B40" s="22">
        <f>ROUNDUP(A40/Supuestos!$B$11,0)</f>
        <v>9</v>
      </c>
      <c r="C40" s="8">
        <f t="shared" si="2"/>
        <v>23218.275664678091</v>
      </c>
      <c r="D40" s="8">
        <f>Supuestos!$B$18</f>
        <v>5106.0609171583947</v>
      </c>
      <c r="E40" s="8">
        <f>C40*Supuestos!$B$16</f>
        <v>754.59395910203796</v>
      </c>
      <c r="F40" s="8">
        <f t="shared" si="0"/>
        <v>4351.4669580563568</v>
      </c>
      <c r="G40" s="8">
        <f t="shared" si="1"/>
        <v>18866.808706621734</v>
      </c>
    </row>
    <row r="41" spans="1:7" ht="15" customHeight="1" x14ac:dyDescent="0.3">
      <c r="A41" s="22">
        <v>37</v>
      </c>
      <c r="B41" s="22">
        <f>ROUNDUP(A41/Supuestos!$B$11,0)</f>
        <v>10</v>
      </c>
      <c r="C41" s="8">
        <f t="shared" si="2"/>
        <v>18866.808706621734</v>
      </c>
      <c r="D41" s="8">
        <f>Supuestos!$B$18</f>
        <v>5106.0609171583947</v>
      </c>
      <c r="E41" s="8">
        <f>C41*Supuestos!$B$16</f>
        <v>613.17128296520639</v>
      </c>
      <c r="F41" s="8">
        <f t="shared" si="0"/>
        <v>4492.8896341931886</v>
      </c>
      <c r="G41" s="8">
        <f t="shared" si="1"/>
        <v>14373.919072428545</v>
      </c>
    </row>
    <row r="42" spans="1:7" ht="15" customHeight="1" x14ac:dyDescent="0.3">
      <c r="A42" s="22">
        <v>38</v>
      </c>
      <c r="B42" s="22">
        <f>ROUNDUP(A42/Supuestos!$B$11,0)</f>
        <v>10</v>
      </c>
      <c r="C42" s="8">
        <f t="shared" si="2"/>
        <v>14373.919072428545</v>
      </c>
      <c r="D42" s="8">
        <f>Supuestos!$B$18</f>
        <v>5106.0609171583947</v>
      </c>
      <c r="E42" s="8">
        <f>C42*Supuestos!$B$16</f>
        <v>467.15236985392772</v>
      </c>
      <c r="F42" s="8">
        <f t="shared" si="0"/>
        <v>4638.908547304467</v>
      </c>
      <c r="G42" s="8">
        <f t="shared" si="1"/>
        <v>9735.0105251240784</v>
      </c>
    </row>
    <row r="43" spans="1:7" ht="15" customHeight="1" x14ac:dyDescent="0.3">
      <c r="A43" s="22">
        <v>39</v>
      </c>
      <c r="B43" s="22">
        <f>ROUNDUP(A43/Supuestos!$B$11,0)</f>
        <v>10</v>
      </c>
      <c r="C43" s="8">
        <f t="shared" si="2"/>
        <v>9735.0105251240784</v>
      </c>
      <c r="D43" s="8">
        <f>Supuestos!$B$18</f>
        <v>5106.0609171583947</v>
      </c>
      <c r="E43" s="8">
        <f>C43*Supuestos!$B$16</f>
        <v>316.38784206653258</v>
      </c>
      <c r="F43" s="8">
        <f t="shared" si="0"/>
        <v>4789.6730750918623</v>
      </c>
      <c r="G43" s="8">
        <f t="shared" si="1"/>
        <v>4945.3374500322161</v>
      </c>
    </row>
    <row r="44" spans="1:7" ht="15" customHeight="1" x14ac:dyDescent="0.3">
      <c r="A44" s="22">
        <v>40</v>
      </c>
      <c r="B44" s="22">
        <f>ROUNDUP(A44/Supuestos!$B$11,0)</f>
        <v>10</v>
      </c>
      <c r="C44" s="8">
        <f t="shared" si="2"/>
        <v>4945.3374500322161</v>
      </c>
      <c r="D44" s="8">
        <f>Supuestos!$B$18</f>
        <v>5106.0609171583947</v>
      </c>
      <c r="E44" s="8">
        <f>C44*Supuestos!$B$16</f>
        <v>160.72346712604704</v>
      </c>
      <c r="F44" s="8">
        <f t="shared" si="0"/>
        <v>4945.337450032348</v>
      </c>
      <c r="G44" s="8">
        <f t="shared" si="1"/>
        <v>-1.3187673175707459E-10</v>
      </c>
    </row>
    <row r="45" spans="1:7" ht="15" customHeight="1" x14ac:dyDescent="0.3">
      <c r="A45" s="5" t="s">
        <v>76</v>
      </c>
      <c r="B45" s="5"/>
      <c r="C45" s="5"/>
      <c r="D45" s="23">
        <f>SUM(D5:D44)</f>
        <v>204242.43668633595</v>
      </c>
      <c r="E45" s="23">
        <f>SUM(E5:E44)</f>
        <v>90844.823706088922</v>
      </c>
      <c r="F45" s="23">
        <f>SUM(F5:F44)</f>
        <v>113397.61298024689</v>
      </c>
      <c r="G45" s="5"/>
    </row>
    <row r="47" spans="1:7" ht="15" customHeight="1" x14ac:dyDescent="0.3">
      <c r="A47" s="24"/>
      <c r="G47" s="25">
        <f>ROUND(G44,2)</f>
        <v>0</v>
      </c>
    </row>
    <row r="48" spans="1:7" ht="15" customHeight="1" x14ac:dyDescent="0.3">
      <c r="A48" s="24"/>
      <c r="G48" s="25">
        <f>ROUND(F45-Supuestos!B9,2)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1"/>
  <sheetViews>
    <sheetView zoomScaleNormal="100" workbookViewId="0">
      <pane xSplit="2" ySplit="7" topLeftCell="D140" activePane="bottomRight" state="frozen"/>
      <selection pane="topRight" activeCell="C1" sqref="C1"/>
      <selection pane="bottomLeft" activeCell="A8" sqref="A8"/>
      <selection pane="bottomRight" activeCell="A141" sqref="A141:L141"/>
    </sheetView>
  </sheetViews>
  <sheetFormatPr baseColWidth="10" defaultColWidth="8.6640625" defaultRowHeight="14.4" x14ac:dyDescent="0.3"/>
  <cols>
    <col min="1" max="1" width="30" customWidth="1"/>
    <col min="2" max="10" width="17" customWidth="1"/>
    <col min="11" max="18" width="16" customWidth="1"/>
  </cols>
  <sheetData>
    <row r="1" spans="1:18" ht="17.399999999999999" x14ac:dyDescent="0.3">
      <c r="A1" s="13" t="s">
        <v>77</v>
      </c>
    </row>
    <row r="2" spans="1:18" ht="30" customHeight="1" x14ac:dyDescent="0.3">
      <c r="A2" s="69" t="s">
        <v>78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8" x14ac:dyDescent="0.3">
      <c r="A3" s="11" t="s">
        <v>79</v>
      </c>
      <c r="B3" s="26">
        <f>Supuestos!B8</f>
        <v>3174.67</v>
      </c>
    </row>
    <row r="4" spans="1:18" x14ac:dyDescent="0.3">
      <c r="A4" s="11" t="s">
        <v>80</v>
      </c>
      <c r="B4" s="27">
        <f>Supuestos!B18</f>
        <v>5106.0609171583947</v>
      </c>
    </row>
    <row r="5" spans="1:18" x14ac:dyDescent="0.3">
      <c r="A5" s="11" t="s">
        <v>81</v>
      </c>
      <c r="B5" s="28">
        <f>Supuestos!B7</f>
        <v>360000000</v>
      </c>
    </row>
    <row r="7" spans="1:18" ht="48" customHeight="1" x14ac:dyDescent="0.3">
      <c r="A7" s="2" t="s">
        <v>69</v>
      </c>
      <c r="B7" s="2" t="s">
        <v>70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86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94</v>
      </c>
      <c r="P7" s="2" t="s">
        <v>95</v>
      </c>
      <c r="Q7" s="2" t="s">
        <v>96</v>
      </c>
      <c r="R7" s="2" t="s">
        <v>97</v>
      </c>
    </row>
    <row r="8" spans="1:18" x14ac:dyDescent="0.3">
      <c r="A8" s="29">
        <v>1</v>
      </c>
      <c r="B8" s="30">
        <f>Amortización!B5</f>
        <v>1</v>
      </c>
      <c r="C8" s="17">
        <f>Amortización!D5</f>
        <v>5106.0609171583947</v>
      </c>
      <c r="D8" s="17">
        <f>Amortización!E5</f>
        <v>3685.4224218580198</v>
      </c>
      <c r="E8" s="17">
        <f>Amortización!F5</f>
        <v>1420.6384953003749</v>
      </c>
      <c r="F8" s="31">
        <f>$C8*'Trayectorias TRM'!C6</f>
        <v>16210058.411875241</v>
      </c>
      <c r="G8" s="31">
        <f>$C8*'Trayectorias TRM'!D6</f>
        <v>16457120.855643827</v>
      </c>
      <c r="H8" s="31">
        <f>$C8*'Trayectorias TRM'!E6</f>
        <v>16143046.946416695</v>
      </c>
      <c r="I8" s="31">
        <f>$C8*'Trayectorias TRM'!F6</f>
        <v>16836488.352096204</v>
      </c>
      <c r="J8" s="31">
        <f>$C8*'Trayectorias TRM'!G6</f>
        <v>15272255.479063468</v>
      </c>
      <c r="K8" s="31">
        <f>$C8*'Trayectorias TRM'!I6</f>
        <v>16477735.428715555</v>
      </c>
      <c r="L8" s="31">
        <f>$C8*'Trayectorias TRM'!K6</f>
        <v>17784896.588784389</v>
      </c>
      <c r="M8" s="31">
        <f>$C8*'Trayectorias TRM'!L6</f>
        <v>16497254.759918176</v>
      </c>
      <c r="N8" s="31">
        <f t="shared" ref="N8:N47" si="0">D8*$B$3</f>
        <v>11700000</v>
      </c>
      <c r="O8" s="31">
        <f t="shared" ref="O8:O47" si="1">E8*$B$3</f>
        <v>4510058.4118752414</v>
      </c>
      <c r="P8" s="31">
        <f>D8*('Trayectorias TRM'!D6-$B$3)</f>
        <v>178323.26809968942</v>
      </c>
      <c r="Q8" s="31">
        <f>E8*('Trayectorias TRM'!D6-$B$3)</f>
        <v>68739.175668896409</v>
      </c>
      <c r="R8" s="31">
        <f>G8-F8</f>
        <v>247062.44376858696</v>
      </c>
    </row>
    <row r="9" spans="1:18" x14ac:dyDescent="0.3">
      <c r="A9" s="29">
        <v>2</v>
      </c>
      <c r="B9" s="30">
        <f>Amortización!B6</f>
        <v>1</v>
      </c>
      <c r="C9" s="17">
        <f>Amortización!D6</f>
        <v>5106.0609171583947</v>
      </c>
      <c r="D9" s="17">
        <f>Amortización!E6</f>
        <v>3639.2516707607579</v>
      </c>
      <c r="E9" s="17">
        <f>Amortización!F6</f>
        <v>1466.8092463976368</v>
      </c>
      <c r="F9" s="31">
        <f>$C9*'Trayectorias TRM'!C7</f>
        <v>16210058.411875241</v>
      </c>
      <c r="G9" s="31">
        <f>$C9*'Trayectorias TRM'!D7</f>
        <v>16707948.853463475</v>
      </c>
      <c r="H9" s="31">
        <f>$C9*'Trayectorias TRM'!E7</f>
        <v>16076312.502569629</v>
      </c>
      <c r="I9" s="31">
        <f>$C9*'Trayectorias TRM'!F7</f>
        <v>17487126.37720092</v>
      </c>
      <c r="J9" s="31">
        <f>$C9*'Trayectorias TRM'!G7</f>
        <v>15150280.513364634</v>
      </c>
      <c r="K9" s="31">
        <f>$C9*'Trayectorias TRM'!I7</f>
        <v>16736021.985709986</v>
      </c>
      <c r="L9" s="31">
        <f>$C9*'Trayectorias TRM'!K7</f>
        <v>18525209.825496469</v>
      </c>
      <c r="M9" s="31">
        <f>$C9*'Trayectorias TRM'!L7</f>
        <v>16774908.148726752</v>
      </c>
      <c r="N9" s="31">
        <f t="shared" si="0"/>
        <v>11553423.101614056</v>
      </c>
      <c r="O9" s="31">
        <f t="shared" si="1"/>
        <v>4656635.3102611853</v>
      </c>
      <c r="P9" s="31">
        <f>D9*('Trayectorias TRM'!D7-$B$3)</f>
        <v>354862.3196634659</v>
      </c>
      <c r="Q9" s="31">
        <f>E9*('Trayectorias TRM'!D7-$B$3)</f>
        <v>143028.12192476809</v>
      </c>
      <c r="R9" s="31">
        <f t="shared" ref="R9:R47" si="2">G9-G8</f>
        <v>250827.99781964719</v>
      </c>
    </row>
    <row r="10" spans="1:18" x14ac:dyDescent="0.3">
      <c r="A10" s="29">
        <v>3</v>
      </c>
      <c r="B10" s="30">
        <f>Amortización!B7</f>
        <v>1</v>
      </c>
      <c r="C10" s="17">
        <f>Amortización!D7</f>
        <v>5106.0609171583947</v>
      </c>
      <c r="D10" s="17">
        <f>Amortización!E7</f>
        <v>3591.5803702528347</v>
      </c>
      <c r="E10" s="17">
        <f>Amortización!F7</f>
        <v>1514.48054690556</v>
      </c>
      <c r="F10" s="31">
        <f>$C10*'Trayectorias TRM'!C8</f>
        <v>16210058.411875241</v>
      </c>
      <c r="G10" s="31">
        <f>$C10*'Trayectorias TRM'!D8</f>
        <v>16962599.797291875</v>
      </c>
      <c r="H10" s="31">
        <f>$C10*'Trayectorias TRM'!E8</f>
        <v>16009853.935142308</v>
      </c>
      <c r="I10" s="31">
        <f>$C10*'Trayectorias TRM'!F8</f>
        <v>18162907.997030314</v>
      </c>
      <c r="J10" s="31">
        <f>$C10*'Trayectorias TRM'!G8</f>
        <v>15259964.032393146</v>
      </c>
      <c r="K10" s="31">
        <f>$C10*'Trayectorias TRM'!I8</f>
        <v>16977448.054686029</v>
      </c>
      <c r="L10" s="31">
        <f>$C10*'Trayectorias TRM'!K8</f>
        <v>19069517.197623204</v>
      </c>
      <c r="M10" s="31">
        <f>$C10*'Trayectorias TRM'!L8</f>
        <v>17047664.619182717</v>
      </c>
      <c r="N10" s="31">
        <f t="shared" si="0"/>
        <v>11402082.454030568</v>
      </c>
      <c r="O10" s="31">
        <f t="shared" si="1"/>
        <v>4807975.9578446746</v>
      </c>
      <c r="P10" s="31">
        <f>D10*('Trayectorias TRM'!D8-$B$3)</f>
        <v>529334.23856788059</v>
      </c>
      <c r="Q10" s="31">
        <f>E10*('Trayectorias TRM'!D8-$B$3)</f>
        <v>223207.14684875266</v>
      </c>
      <c r="R10" s="31">
        <f t="shared" si="2"/>
        <v>254650.94382840022</v>
      </c>
    </row>
    <row r="11" spans="1:18" x14ac:dyDescent="0.3">
      <c r="A11" s="29">
        <v>4</v>
      </c>
      <c r="B11" s="30">
        <f>Amortización!B8</f>
        <v>1</v>
      </c>
      <c r="C11" s="17">
        <f>Amortización!D8</f>
        <v>5106.0609171583947</v>
      </c>
      <c r="D11" s="17">
        <f>Amortización!E8</f>
        <v>3542.3597524784041</v>
      </c>
      <c r="E11" s="17">
        <f>Amortización!F8</f>
        <v>1563.7011646799906</v>
      </c>
      <c r="F11" s="31">
        <f>$C11*'Trayectorias TRM'!C9</f>
        <v>16210058.411875241</v>
      </c>
      <c r="G11" s="31">
        <f>$C11*'Trayectorias TRM'!D9</f>
        <v>17221131.95381495</v>
      </c>
      <c r="H11" s="31">
        <f>$C11*'Trayectorias TRM'!E9</f>
        <v>15943670.103677237</v>
      </c>
      <c r="I11" s="31">
        <f>$C11*'Trayectorias TRM'!F9</f>
        <v>18864804.873754911</v>
      </c>
      <c r="J11" s="31">
        <f>$C11*'Trayectorias TRM'!G9</f>
        <v>15515504.581848331</v>
      </c>
      <c r="K11" s="31">
        <f>$C11*'Trayectorias TRM'!I9</f>
        <v>17212007.429484751</v>
      </c>
      <c r="L11" s="31">
        <f>$C11*'Trayectorias TRM'!K9</f>
        <v>19562390.374292746</v>
      </c>
      <c r="M11" s="31">
        <f>$C11*'Trayectorias TRM'!L9</f>
        <v>17319920.769591387</v>
      </c>
      <c r="N11" s="31">
        <f t="shared" si="0"/>
        <v>11245823.235400615</v>
      </c>
      <c r="O11" s="31">
        <f t="shared" si="1"/>
        <v>4964235.1764746262</v>
      </c>
      <c r="P11" s="31">
        <f>D11*('Trayectorias TRM'!D9-$B$3)</f>
        <v>701438.20840982394</v>
      </c>
      <c r="Q11" s="31">
        <f>E11*('Trayectorias TRM'!D9-$B$3)</f>
        <v>309635.33352988394</v>
      </c>
      <c r="R11" s="31">
        <f t="shared" si="2"/>
        <v>258532.15652307495</v>
      </c>
    </row>
    <row r="12" spans="1:18" x14ac:dyDescent="0.3">
      <c r="A12" s="29">
        <v>5</v>
      </c>
      <c r="B12" s="30">
        <f>Amortización!B9</f>
        <v>2</v>
      </c>
      <c r="C12" s="17">
        <f>Amortización!D9</f>
        <v>5106.0609171583947</v>
      </c>
      <c r="D12" s="17">
        <f>Amortización!E9</f>
        <v>3491.5394646263044</v>
      </c>
      <c r="E12" s="17">
        <f>Amortización!F9</f>
        <v>1614.5214525320903</v>
      </c>
      <c r="F12" s="31">
        <f>$C12*'Trayectorias TRM'!C10</f>
        <v>16210058.411875241</v>
      </c>
      <c r="G12" s="31">
        <f>$C12*'Trayectorias TRM'!D10</f>
        <v>17303022.08468822</v>
      </c>
      <c r="H12" s="31">
        <f>$C12*'Trayectorias TRM'!E10</f>
        <v>16019485.632812724</v>
      </c>
      <c r="I12" s="31">
        <f>$C12*'Trayectorias TRM'!F10</f>
        <v>18954511.017587602</v>
      </c>
      <c r="J12" s="31">
        <f>$C12*'Trayectorias TRM'!G10</f>
        <v>14885803.096740838</v>
      </c>
      <c r="K12" s="31">
        <f>$C12*'Trayectorias TRM'!I10</f>
        <v>17323662.183773551</v>
      </c>
      <c r="L12" s="31">
        <f>$C12*'Trayectorias TRM'!K10</f>
        <v>20416124.401112031</v>
      </c>
      <c r="M12" s="31">
        <f>$C12*'Trayectorias TRM'!L10</f>
        <v>17443285.685791288</v>
      </c>
      <c r="N12" s="31">
        <f t="shared" si="0"/>
        <v>11084485.592165191</v>
      </c>
      <c r="O12" s="31">
        <f t="shared" si="1"/>
        <v>5125572.8197100507</v>
      </c>
      <c r="P12" s="31">
        <f>D12*('Trayectorias TRM'!D10-$B$3)</f>
        <v>747371.77228060982</v>
      </c>
      <c r="Q12" s="31">
        <f>E12*('Trayectorias TRM'!D10-$B$3)</f>
        <v>345591.90053236845</v>
      </c>
      <c r="R12" s="31">
        <f t="shared" si="2"/>
        <v>81890.130873270333</v>
      </c>
    </row>
    <row r="13" spans="1:18" x14ac:dyDescent="0.3">
      <c r="A13" s="29">
        <v>6</v>
      </c>
      <c r="B13" s="30">
        <f>Amortización!B10</f>
        <v>2</v>
      </c>
      <c r="C13" s="17">
        <f>Amortización!D10</f>
        <v>5106.0609171583947</v>
      </c>
      <c r="D13" s="17">
        <f>Amortización!E10</f>
        <v>3439.067517419011</v>
      </c>
      <c r="E13" s="17">
        <f>Amortización!F10</f>
        <v>1666.9933997393837</v>
      </c>
      <c r="F13" s="31">
        <f>$C13*'Trayectorias TRM'!C11</f>
        <v>16210058.411875241</v>
      </c>
      <c r="G13" s="31">
        <f>$C13*'Trayectorias TRM'!D11</f>
        <v>17385301.620482896</v>
      </c>
      <c r="H13" s="31">
        <f>$C13*'Trayectorias TRM'!E11</f>
        <v>16095661.680851383</v>
      </c>
      <c r="I13" s="31">
        <f>$C13*'Trayectorias TRM'!F11</f>
        <v>19044643.733139198</v>
      </c>
      <c r="J13" s="31">
        <f>$C13*'Trayectorias TRM'!G11</f>
        <v>14454139.04697663</v>
      </c>
      <c r="K13" s="31">
        <f>$C13*'Trayectorias TRM'!I11</f>
        <v>17408079.431019727</v>
      </c>
      <c r="L13" s="31">
        <f>$C13*'Trayectorias TRM'!K11</f>
        <v>21166429.855403133</v>
      </c>
      <c r="M13" s="31">
        <f>$C13*'Trayectorias TRM'!L11</f>
        <v>17561633.972167265</v>
      </c>
      <c r="N13" s="31">
        <f t="shared" si="0"/>
        <v>10917904.475524612</v>
      </c>
      <c r="O13" s="31">
        <f t="shared" si="1"/>
        <v>5292153.9363506297</v>
      </c>
      <c r="P13" s="31">
        <f>D13*('Trayectorias TRM'!D11-$B$3)</f>
        <v>791557.48616473062</v>
      </c>
      <c r="Q13" s="31">
        <f>E13*('Trayectorias TRM'!D11-$B$3)</f>
        <v>383685.72244292346</v>
      </c>
      <c r="R13" s="31">
        <f t="shared" si="2"/>
        <v>82279.53579467535</v>
      </c>
    </row>
    <row r="14" spans="1:18" x14ac:dyDescent="0.3">
      <c r="A14" s="29">
        <v>7</v>
      </c>
      <c r="B14" s="30">
        <f>Amortización!B11</f>
        <v>2</v>
      </c>
      <c r="C14" s="17">
        <f>Amortización!D11</f>
        <v>5106.0609171583947</v>
      </c>
      <c r="D14" s="17">
        <f>Amortización!E11</f>
        <v>3384.8902319274812</v>
      </c>
      <c r="E14" s="17">
        <f>Amortización!F11</f>
        <v>1721.1706852309135</v>
      </c>
      <c r="F14" s="31">
        <f>$C14*'Trayectorias TRM'!C12</f>
        <v>16210058.411875241</v>
      </c>
      <c r="G14" s="31">
        <f>$C14*'Trayectorias TRM'!D12</f>
        <v>17467972.41290186</v>
      </c>
      <c r="H14" s="31">
        <f>$C14*'Trayectorias TRM'!E12</f>
        <v>16172199.962136978</v>
      </c>
      <c r="I14" s="31">
        <f>$C14*'Trayectorias TRM'!F12</f>
        <v>19135205.048848562</v>
      </c>
      <c r="J14" s="31">
        <f>$C14*'Trayectorias TRM'!G12</f>
        <v>14084080.52727819</v>
      </c>
      <c r="K14" s="31">
        <f>$C14*'Trayectorias TRM'!I12</f>
        <v>17525366.920880176</v>
      </c>
      <c r="L14" s="31">
        <f>$C14*'Trayectorias TRM'!K12</f>
        <v>21933653.249258302</v>
      </c>
      <c r="M14" s="31">
        <f>$C14*'Trayectorias TRM'!L12</f>
        <v>17705403.636549689</v>
      </c>
      <c r="N14" s="31">
        <f t="shared" si="0"/>
        <v>10745909.472593216</v>
      </c>
      <c r="O14" s="31">
        <f t="shared" si="1"/>
        <v>5464148.9392820243</v>
      </c>
      <c r="P14" s="31">
        <f>D14*('Trayectorias TRM'!D12-$B$3)</f>
        <v>833891.5034036478</v>
      </c>
      <c r="Q14" s="31">
        <f>E14*('Trayectorias TRM'!D12-$B$3)</f>
        <v>424022.49762297247</v>
      </c>
      <c r="R14" s="31">
        <f t="shared" si="2"/>
        <v>82670.792418964207</v>
      </c>
    </row>
    <row r="15" spans="1:18" x14ac:dyDescent="0.3">
      <c r="A15" s="29">
        <v>8</v>
      </c>
      <c r="B15" s="30">
        <f>Amortización!B12</f>
        <v>2</v>
      </c>
      <c r="C15" s="17">
        <f>Amortización!D12</f>
        <v>5106.0609171583947</v>
      </c>
      <c r="D15" s="17">
        <f>Amortización!E12</f>
        <v>3328.9521846574767</v>
      </c>
      <c r="E15" s="17">
        <f>Amortización!F12</f>
        <v>1777.108732500918</v>
      </c>
      <c r="F15" s="31">
        <f>$C15*'Trayectorias TRM'!C13</f>
        <v>16210058.411875241</v>
      </c>
      <c r="G15" s="31">
        <f>$C15*'Trayectorias TRM'!D13</f>
        <v>17551036.322453193</v>
      </c>
      <c r="H15" s="31">
        <f>$C15*'Trayectorias TRM'!E13</f>
        <v>16249102.199165307</v>
      </c>
      <c r="I15" s="31">
        <f>$C15*'Trayectorias TRM'!F13</f>
        <v>19226197.002800271</v>
      </c>
      <c r="J15" s="31">
        <f>$C15*'Trayectorias TRM'!G13</f>
        <v>13791879.041944573</v>
      </c>
      <c r="K15" s="31">
        <f>$C15*'Trayectorias TRM'!I13</f>
        <v>17626131.788134009</v>
      </c>
      <c r="L15" s="31">
        <f>$C15*'Trayectorias TRM'!K13</f>
        <v>22555924.639426101</v>
      </c>
      <c r="M15" s="31">
        <f>$C15*'Trayectorias TRM'!L13</f>
        <v>17822281.353011113</v>
      </c>
      <c r="N15" s="31">
        <f t="shared" si="0"/>
        <v>10568324.632066552</v>
      </c>
      <c r="O15" s="31">
        <f t="shared" si="1"/>
        <v>5641733.7798086898</v>
      </c>
      <c r="P15" s="31">
        <f>D15*('Trayectorias TRM'!D13-$B$3)</f>
        <v>874265.19530836563</v>
      </c>
      <c r="Q15" s="31">
        <f>E15*('Trayectorias TRM'!D13-$B$3)</f>
        <v>466712.71526958782</v>
      </c>
      <c r="R15" s="31">
        <f t="shared" si="2"/>
        <v>83063.909551333636</v>
      </c>
    </row>
    <row r="16" spans="1:18" x14ac:dyDescent="0.3">
      <c r="A16" s="29">
        <v>9</v>
      </c>
      <c r="B16" s="30">
        <f>Amortización!B13</f>
        <v>3</v>
      </c>
      <c r="C16" s="17">
        <f>Amortización!D13</f>
        <v>5106.0609171583947</v>
      </c>
      <c r="D16" s="17">
        <f>Amortización!E13</f>
        <v>3271.1961508511968</v>
      </c>
      <c r="E16" s="17">
        <f>Amortización!F13</f>
        <v>1834.8647663071979</v>
      </c>
      <c r="F16" s="31">
        <f>$C16*'Trayectorias TRM'!C14</f>
        <v>16210058.411875241</v>
      </c>
      <c r="G16" s="31">
        <f>$C16*'Trayectorias TRM'!D14</f>
        <v>17634495.218492199</v>
      </c>
      <c r="H16" s="31">
        <f>$C16*'Trayectorias TRM'!E14</f>
        <v>16326370.122623058</v>
      </c>
      <c r="I16" s="31">
        <f>$C16*'Trayectorias TRM'!F14</f>
        <v>19317621.642770357</v>
      </c>
      <c r="J16" s="31">
        <f>$C16*'Trayectorias TRM'!G14</f>
        <v>13564800.745011467</v>
      </c>
      <c r="K16" s="31">
        <f>$C16*'Trayectorias TRM'!I14</f>
        <v>17712530.480812561</v>
      </c>
      <c r="L16" s="31">
        <f>$C16*'Trayectorias TRM'!K14</f>
        <v>23134021.893751584</v>
      </c>
      <c r="M16" s="31">
        <f>$C16*'Trayectorias TRM'!L14</f>
        <v>17946940.292143434</v>
      </c>
      <c r="N16" s="31">
        <f t="shared" si="0"/>
        <v>10384968.284222769</v>
      </c>
      <c r="O16" s="31">
        <f t="shared" si="1"/>
        <v>5825090.1276524719</v>
      </c>
      <c r="P16" s="31">
        <f>D16*('Trayectorias TRM'!D14-$B$3)</f>
        <v>912564.94478512963</v>
      </c>
      <c r="Q16" s="31">
        <f>E16*('Trayectorias TRM'!D14-$B$3)</f>
        <v>511871.86183182691</v>
      </c>
      <c r="R16" s="31">
        <f t="shared" si="2"/>
        <v>83458.896039005369</v>
      </c>
    </row>
    <row r="17" spans="1:18" x14ac:dyDescent="0.3">
      <c r="A17" s="29">
        <v>10</v>
      </c>
      <c r="B17" s="30">
        <f>Amortización!B14</f>
        <v>3</v>
      </c>
      <c r="C17" s="17">
        <f>Amortización!D14</f>
        <v>5106.0609171583947</v>
      </c>
      <c r="D17" s="17">
        <f>Amortización!E14</f>
        <v>3211.5630459462127</v>
      </c>
      <c r="E17" s="17">
        <f>Amortización!F14</f>
        <v>1894.497871212182</v>
      </c>
      <c r="F17" s="31">
        <f>$C17*'Trayectorias TRM'!C15</f>
        <v>16210058.411875241</v>
      </c>
      <c r="G17" s="31">
        <f>$C17*'Trayectorias TRM'!D15</f>
        <v>17718350.979263313</v>
      </c>
      <c r="H17" s="31">
        <f>$C17*'Trayectorias TRM'!E15</f>
        <v>16404005.471426655</v>
      </c>
      <c r="I17" s="31">
        <f>$C17*'Trayectorias TRM'!F15</f>
        <v>19409481.026272509</v>
      </c>
      <c r="J17" s="31">
        <f>$C17*'Trayectorias TRM'!G15</f>
        <v>13344234.828954836</v>
      </c>
      <c r="K17" s="31">
        <f>$C17*'Trayectorias TRM'!I15</f>
        <v>17806301.668484565</v>
      </c>
      <c r="L17" s="31">
        <f>$C17*'Trayectorias TRM'!K15</f>
        <v>23820800.449385379</v>
      </c>
      <c r="M17" s="31">
        <f>$C17*'Trayectorias TRM'!L15</f>
        <v>18079269.160348158</v>
      </c>
      <c r="N17" s="31">
        <f t="shared" si="0"/>
        <v>10195652.855074063</v>
      </c>
      <c r="O17" s="31">
        <f t="shared" si="1"/>
        <v>6014405.5568011776</v>
      </c>
      <c r="P17" s="31">
        <f>D17*('Trayectorias TRM'!D15-$B$3)</f>
        <v>948671.93135537743</v>
      </c>
      <c r="Q17" s="31">
        <f>E17*('Trayectorias TRM'!D15-$B$3)</f>
        <v>559620.63603269274</v>
      </c>
      <c r="R17" s="31">
        <f t="shared" si="2"/>
        <v>83855.760771114379</v>
      </c>
    </row>
    <row r="18" spans="1:18" x14ac:dyDescent="0.3">
      <c r="A18" s="29">
        <v>11</v>
      </c>
      <c r="B18" s="30">
        <f>Amortización!B15</f>
        <v>3</v>
      </c>
      <c r="C18" s="17">
        <f>Amortización!D15</f>
        <v>5106.0609171583947</v>
      </c>
      <c r="D18" s="17">
        <f>Amortización!E15</f>
        <v>3149.9918651318167</v>
      </c>
      <c r="E18" s="17">
        <f>Amortización!F15</f>
        <v>1956.069052026578</v>
      </c>
      <c r="F18" s="31">
        <f>$C18*'Trayectorias TRM'!C16</f>
        <v>16210058.411875241</v>
      </c>
      <c r="G18" s="31">
        <f>$C18*'Trayectorias TRM'!D16</f>
        <v>17802605.491942395</v>
      </c>
      <c r="H18" s="31">
        <f>$C18*'Trayectorias TRM'!E16</f>
        <v>16482009.992761489</v>
      </c>
      <c r="I18" s="31">
        <f>$C18*'Trayectorias TRM'!F16</f>
        <v>19501777.220604405</v>
      </c>
      <c r="J18" s="31">
        <f>$C18*'Trayectorias TRM'!G16</f>
        <v>13144317.590888079</v>
      </c>
      <c r="K18" s="31">
        <f>$C18*'Trayectorias TRM'!I16</f>
        <v>17861467.012712017</v>
      </c>
      <c r="L18" s="31">
        <f>$C18*'Trayectorias TRM'!K16</f>
        <v>24397435.111627769</v>
      </c>
      <c r="M18" s="31">
        <f>$C18*'Trayectorias TRM'!L16</f>
        <v>18201769.710341282</v>
      </c>
      <c r="N18" s="31">
        <f t="shared" si="0"/>
        <v>10000184.674478024</v>
      </c>
      <c r="O18" s="31">
        <f t="shared" si="1"/>
        <v>6209873.7373972163</v>
      </c>
      <c r="P18" s="31">
        <f>D18*('Trayectorias TRM'!D16-$B$3)</f>
        <v>982461.90721961274</v>
      </c>
      <c r="Q18" s="31">
        <f>E18*('Trayectorias TRM'!D16-$B$3)</f>
        <v>610085.17284754082</v>
      </c>
      <c r="R18" s="31">
        <f t="shared" si="2"/>
        <v>84254.51267908141</v>
      </c>
    </row>
    <row r="19" spans="1:18" x14ac:dyDescent="0.3">
      <c r="A19" s="29">
        <v>12</v>
      </c>
      <c r="B19" s="30">
        <f>Amortización!B16</f>
        <v>3</v>
      </c>
      <c r="C19" s="17">
        <f>Amortización!D16</f>
        <v>5106.0609171583947</v>
      </c>
      <c r="D19" s="17">
        <f>Amortización!E16</f>
        <v>3086.4196209409529</v>
      </c>
      <c r="E19" s="17">
        <f>Amortización!F16</f>
        <v>2019.6412962174418</v>
      </c>
      <c r="F19" s="31">
        <f>$C19*'Trayectorias TRM'!C17</f>
        <v>16210058.411875241</v>
      </c>
      <c r="G19" s="31">
        <f>$C19*'Trayectorias TRM'!D17</f>
        <v>17887260.652679212</v>
      </c>
      <c r="H19" s="31">
        <f>$C19*'Trayectorias TRM'!E17</f>
        <v>16560385.442121126</v>
      </c>
      <c r="I19" s="31">
        <f>$C19*'Trayectorias TRM'!F17</f>
        <v>19594512.302894011</v>
      </c>
      <c r="J19" s="31">
        <f>$C19*'Trayectorias TRM'!G17</f>
        <v>12966516.541140247</v>
      </c>
      <c r="K19" s="31">
        <f>$C19*'Trayectorias TRM'!I17</f>
        <v>17936894.343825344</v>
      </c>
      <c r="L19" s="31">
        <f>$C19*'Trayectorias TRM'!K17</f>
        <v>24934327.786138691</v>
      </c>
      <c r="M19" s="31">
        <f>$C19*'Trayectorias TRM'!L17</f>
        <v>18337266.935813982</v>
      </c>
      <c r="N19" s="31">
        <f t="shared" si="0"/>
        <v>9798363.7780126147</v>
      </c>
      <c r="O19" s="31">
        <f t="shared" si="1"/>
        <v>6411694.6338626258</v>
      </c>
      <c r="P19" s="31">
        <f>D19*('Trayectorias TRM'!D17-$B$3)</f>
        <v>1013804.9640003793</v>
      </c>
      <c r="Q19" s="31">
        <f>E19*('Trayectorias TRM'!D17-$B$3)</f>
        <v>663397.2768035921</v>
      </c>
      <c r="R19" s="31">
        <f t="shared" si="2"/>
        <v>84655.160736817867</v>
      </c>
    </row>
    <row r="20" spans="1:18" x14ac:dyDescent="0.3">
      <c r="A20" s="29">
        <v>13</v>
      </c>
      <c r="B20" s="30">
        <f>Amortización!B17</f>
        <v>4</v>
      </c>
      <c r="C20" s="17">
        <f>Amortización!D17</f>
        <v>5106.0609171583947</v>
      </c>
      <c r="D20" s="17">
        <f>Amortización!E17</f>
        <v>3020.7812788138863</v>
      </c>
      <c r="E20" s="17">
        <f>Amortización!F17</f>
        <v>2085.2796383445084</v>
      </c>
      <c r="F20" s="31">
        <f>$C20*'Trayectorias TRM'!C18</f>
        <v>16210058.411875241</v>
      </c>
      <c r="G20" s="31">
        <f>$C20*'Trayectorias TRM'!D18</f>
        <v>17972318.36664027</v>
      </c>
      <c r="H20" s="31">
        <f>$C20*'Trayectorias TRM'!E18</f>
        <v>16639133.583346922</v>
      </c>
      <c r="I20" s="31">
        <f>$C20*'Trayectorias TRM'!F18</f>
        <v>19687688.360146556</v>
      </c>
      <c r="J20" s="31">
        <f>$C20*'Trayectorias TRM'!G18</f>
        <v>12830507.204105189</v>
      </c>
      <c r="K20" s="31">
        <f>$C20*'Trayectorias TRM'!I18</f>
        <v>18014835.580308869</v>
      </c>
      <c r="L20" s="31">
        <f>$C20*'Trayectorias TRM'!K18</f>
        <v>25515705.650751337</v>
      </c>
      <c r="M20" s="31">
        <f>$C20*'Trayectorias TRM'!L18</f>
        <v>18458646.388764992</v>
      </c>
      <c r="N20" s="31">
        <f t="shared" si="0"/>
        <v>9589983.70241208</v>
      </c>
      <c r="O20" s="31">
        <f t="shared" si="1"/>
        <v>6620074.7094631605</v>
      </c>
      <c r="P20" s="31">
        <f>D20*('Trayectorias TRM'!D18-$B$3)</f>
        <v>1042565.2897850976</v>
      </c>
      <c r="Q20" s="31">
        <f>E20*('Trayectorias TRM'!D18-$B$3)</f>
        <v>719694.6649799305</v>
      </c>
      <c r="R20" s="31">
        <f t="shared" si="2"/>
        <v>85057.713961057365</v>
      </c>
    </row>
    <row r="21" spans="1:18" x14ac:dyDescent="0.3">
      <c r="A21" s="29">
        <v>14</v>
      </c>
      <c r="B21" s="30">
        <f>Amortización!B18</f>
        <v>4</v>
      </c>
      <c r="C21" s="17">
        <f>Amortización!D18</f>
        <v>5106.0609171583947</v>
      </c>
      <c r="D21" s="17">
        <f>Amortización!E18</f>
        <v>2953.0096905676896</v>
      </c>
      <c r="E21" s="17">
        <f>Amortización!F18</f>
        <v>2153.051226590705</v>
      </c>
      <c r="F21" s="31">
        <f>$C21*'Trayectorias TRM'!C19</f>
        <v>16210058.411875241</v>
      </c>
      <c r="G21" s="31">
        <f>$C21*'Trayectorias TRM'!D19</f>
        <v>18057780.548051298</v>
      </c>
      <c r="H21" s="31">
        <f>$C21*'Trayectorias TRM'!E19</f>
        <v>16718256.188667705</v>
      </c>
      <c r="I21" s="31">
        <f>$C21*'Trayectorias TRM'!F19</f>
        <v>19781307.489291415</v>
      </c>
      <c r="J21" s="31">
        <f>$C21*'Trayectorias TRM'!G19</f>
        <v>12732092.70081846</v>
      </c>
      <c r="K21" s="31">
        <f>$C21*'Trayectorias TRM'!I19</f>
        <v>18112970.418622848</v>
      </c>
      <c r="L21" s="31">
        <f>$C21*'Trayectorias TRM'!K19</f>
        <v>26023870.265282217</v>
      </c>
      <c r="M21" s="31">
        <f>$C21*'Trayectorias TRM'!L19</f>
        <v>18577286.763171777</v>
      </c>
      <c r="N21" s="31">
        <f t="shared" si="0"/>
        <v>9374831.2743545268</v>
      </c>
      <c r="O21" s="31">
        <f t="shared" si="1"/>
        <v>6835227.1375207137</v>
      </c>
      <c r="P21" s="31">
        <f>D21*('Trayectorias TRM'!D19-$B$3)</f>
        <v>1068600.9160738469</v>
      </c>
      <c r="Q21" s="31">
        <f>E21*('Trayectorias TRM'!D19-$B$3)</f>
        <v>779121.22010220971</v>
      </c>
      <c r="R21" s="31">
        <f t="shared" si="2"/>
        <v>85462.181411027908</v>
      </c>
    </row>
    <row r="22" spans="1:18" x14ac:dyDescent="0.3">
      <c r="A22" s="29">
        <v>15</v>
      </c>
      <c r="B22" s="30">
        <f>Amortización!B19</f>
        <v>4</v>
      </c>
      <c r="C22" s="17">
        <f>Amortización!D19</f>
        <v>5106.0609171583947</v>
      </c>
      <c r="D22" s="17">
        <f>Amortización!E19</f>
        <v>2883.0355257034921</v>
      </c>
      <c r="E22" s="17">
        <f>Amortización!F19</f>
        <v>2223.0253914549025</v>
      </c>
      <c r="F22" s="31">
        <f>$C22*'Trayectorias TRM'!C20</f>
        <v>16210058.411875241</v>
      </c>
      <c r="G22" s="31">
        <f>$C22*'Trayectorias TRM'!D20</f>
        <v>18143649.1202408</v>
      </c>
      <c r="H22" s="31">
        <f>$C22*'Trayectorias TRM'!E20</f>
        <v>16797755.03873951</v>
      </c>
      <c r="I22" s="31">
        <f>$C22*'Trayectorias TRM'!F20</f>
        <v>19875371.797229327</v>
      </c>
      <c r="J22" s="31">
        <f>$C22*'Trayectorias TRM'!G20</f>
        <v>12563959.628438788</v>
      </c>
      <c r="K22" s="31">
        <f>$C22*'Trayectorias TRM'!I20</f>
        <v>18202254.25350504</v>
      </c>
      <c r="L22" s="31">
        <f>$C22*'Trayectorias TRM'!K20</f>
        <v>26625899.503161833</v>
      </c>
      <c r="M22" s="31">
        <f>$C22*'Trayectorias TRM'!L20</f>
        <v>18713669.55107782</v>
      </c>
      <c r="N22" s="31">
        <f t="shared" si="0"/>
        <v>9152686.3923851047</v>
      </c>
      <c r="O22" s="31">
        <f t="shared" si="1"/>
        <v>7057372.0194901358</v>
      </c>
      <c r="P22" s="31">
        <f>D22*('Trayectorias TRM'!D20-$B$3)</f>
        <v>1091763.4542226442</v>
      </c>
      <c r="Q22" s="31">
        <f>E22*('Trayectorias TRM'!D20-$B$3)</f>
        <v>841827.2541429163</v>
      </c>
      <c r="R22" s="31">
        <f t="shared" si="2"/>
        <v>85868.572189502418</v>
      </c>
    </row>
    <row r="23" spans="1:18" x14ac:dyDescent="0.3">
      <c r="A23" s="29">
        <v>16</v>
      </c>
      <c r="B23" s="30">
        <f>Amortización!B20</f>
        <v>4</v>
      </c>
      <c r="C23" s="17">
        <f>Amortización!D20</f>
        <v>5106.0609171583947</v>
      </c>
      <c r="D23" s="17">
        <f>Amortización!E20</f>
        <v>2810.7872004812079</v>
      </c>
      <c r="E23" s="17">
        <f>Amortización!F20</f>
        <v>2295.2737166771867</v>
      </c>
      <c r="F23" s="31">
        <f>$C23*'Trayectorias TRM'!C21</f>
        <v>16210058.411875241</v>
      </c>
      <c r="G23" s="31">
        <f>$C23*'Trayectorias TRM'!D21</f>
        <v>18229926.015683014</v>
      </c>
      <c r="H23" s="31">
        <f>$C23*'Trayectorias TRM'!E21</f>
        <v>16877631.922685891</v>
      </c>
      <c r="I23" s="31">
        <f>$C23*'Trayectorias TRM'!F21</f>
        <v>19969883.400879689</v>
      </c>
      <c r="J23" s="31">
        <f>$C23*'Trayectorias TRM'!G21</f>
        <v>12439663.771439346</v>
      </c>
      <c r="K23" s="31">
        <f>$C23*'Trayectorias TRM'!I21</f>
        <v>18295715.887275375</v>
      </c>
      <c r="L23" s="31">
        <f>$C23*'Trayectorias TRM'!K21</f>
        <v>27228672.867405556</v>
      </c>
      <c r="M23" s="31">
        <f>$C23*'Trayectorias TRM'!L21</f>
        <v>18840160.99537028</v>
      </c>
      <c r="N23" s="31">
        <f t="shared" si="0"/>
        <v>8923321.8017516769</v>
      </c>
      <c r="O23" s="31">
        <f t="shared" si="1"/>
        <v>7286736.6101235645</v>
      </c>
      <c r="P23" s="31">
        <f>D23*('Trayectorias TRM'!D21-$B$3)</f>
        <v>1111897.8209545349</v>
      </c>
      <c r="Q23" s="31">
        <f>E23*('Trayectorias TRM'!D21-$B$3)</f>
        <v>907969.782853237</v>
      </c>
      <c r="R23" s="31">
        <f t="shared" si="2"/>
        <v>86276.895442213863</v>
      </c>
    </row>
    <row r="24" spans="1:18" x14ac:dyDescent="0.3">
      <c r="A24" s="29">
        <v>17</v>
      </c>
      <c r="B24" s="30">
        <f>Amortización!B21</f>
        <v>5</v>
      </c>
      <c r="C24" s="17">
        <f>Amortización!D21</f>
        <v>5106.0609171583947</v>
      </c>
      <c r="D24" s="17">
        <f>Amortización!E21</f>
        <v>2736.1908046891995</v>
      </c>
      <c r="E24" s="17">
        <f>Amortización!F21</f>
        <v>2369.8701124691952</v>
      </c>
      <c r="F24" s="31">
        <f>$C24*'Trayectorias TRM'!C22</f>
        <v>16210058.411875241</v>
      </c>
      <c r="G24" s="31">
        <f>$C24*'Trayectorias TRM'!D22</f>
        <v>18316613.176041488</v>
      </c>
      <c r="H24" s="31">
        <f>$C24*'Trayectorias TRM'!E22</f>
        <v>16957888.638137925</v>
      </c>
      <c r="I24" s="31">
        <f>$C24*'Trayectorias TRM'!F22</f>
        <v>20064844.427228495</v>
      </c>
      <c r="J24" s="31">
        <f>$C24*'Trayectorias TRM'!G22</f>
        <v>12339095.843797849</v>
      </c>
      <c r="K24" s="31">
        <f>$C24*'Trayectorias TRM'!I22</f>
        <v>18371256.993069183</v>
      </c>
      <c r="L24" s="31">
        <f>$C24*'Trayectorias TRM'!K22</f>
        <v>27668694.749817096</v>
      </c>
      <c r="M24" s="31">
        <f>$C24*'Trayectorias TRM'!L22</f>
        <v>18968197.177312925</v>
      </c>
      <c r="N24" s="31">
        <f t="shared" si="0"/>
        <v>8686502.8619226608</v>
      </c>
      <c r="O24" s="31">
        <f t="shared" si="1"/>
        <v>7523555.5499525797</v>
      </c>
      <c r="P24" s="31">
        <f>D24*('Trayectorias TRM'!D22-$B$3)</f>
        <v>1128841.9524954739</v>
      </c>
      <c r="Q24" s="31">
        <f>E24*('Trayectorias TRM'!D22-$B$3)</f>
        <v>977712.8116707739</v>
      </c>
      <c r="R24" s="31">
        <f t="shared" si="2"/>
        <v>86687.160358473659</v>
      </c>
    </row>
    <row r="25" spans="1:18" x14ac:dyDescent="0.3">
      <c r="A25" s="29">
        <v>18</v>
      </c>
      <c r="B25" s="30">
        <f>Amortización!B22</f>
        <v>5</v>
      </c>
      <c r="C25" s="17">
        <f>Amortización!D22</f>
        <v>5106.0609171583947</v>
      </c>
      <c r="D25" s="17">
        <f>Amortización!E22</f>
        <v>2659.1700260339503</v>
      </c>
      <c r="E25" s="17">
        <f>Amortización!F22</f>
        <v>2446.8908911244444</v>
      </c>
      <c r="F25" s="31">
        <f>$C25*'Trayectorias TRM'!C23</f>
        <v>16210058.411875241</v>
      </c>
      <c r="G25" s="31">
        <f>$C25*'Trayectorias TRM'!D23</f>
        <v>18403712.552212819</v>
      </c>
      <c r="H25" s="31">
        <f>$C25*'Trayectorias TRM'!E23</f>
        <v>17038526.991274998</v>
      </c>
      <c r="I25" s="31">
        <f>$C25*'Trayectorias TRM'!F23</f>
        <v>20160257.01337583</v>
      </c>
      <c r="J25" s="31">
        <f>$C25*'Trayectorias TRM'!G23</f>
        <v>12206953.742783206</v>
      </c>
      <c r="K25" s="31">
        <f>$C25*'Trayectorias TRM'!I23</f>
        <v>18483136.500566822</v>
      </c>
      <c r="L25" s="31">
        <f>$C25*'Trayectorias TRM'!K23</f>
        <v>28204008.255202066</v>
      </c>
      <c r="M25" s="31">
        <f>$C25*'Trayectorias TRM'!L23</f>
        <v>19105876.860568311</v>
      </c>
      <c r="N25" s="31">
        <f t="shared" si="0"/>
        <v>8441987.3065492008</v>
      </c>
      <c r="O25" s="31">
        <f t="shared" si="1"/>
        <v>7768071.1053260397</v>
      </c>
      <c r="P25" s="31">
        <f>D25*('Trayectorias TRM'!D23-$B$3)</f>
        <v>1142426.5068731855</v>
      </c>
      <c r="Q25" s="31">
        <f>E25*('Trayectorias TRM'!D23-$B$3)</f>
        <v>1051227.6334643918</v>
      </c>
      <c r="R25" s="31">
        <f t="shared" si="2"/>
        <v>87099.376171331853</v>
      </c>
    </row>
    <row r="26" spans="1:18" x14ac:dyDescent="0.3">
      <c r="A26" s="29">
        <v>19</v>
      </c>
      <c r="B26" s="30">
        <f>Amortización!B23</f>
        <v>5</v>
      </c>
      <c r="C26" s="17">
        <f>Amortización!D23</f>
        <v>5106.0609171583947</v>
      </c>
      <c r="D26" s="17">
        <f>Amortización!E23</f>
        <v>2579.6460720724058</v>
      </c>
      <c r="E26" s="17">
        <f>Amortización!F23</f>
        <v>2526.4148450859889</v>
      </c>
      <c r="F26" s="31">
        <f>$C26*'Trayectorias TRM'!C24</f>
        <v>16210058.411875241</v>
      </c>
      <c r="G26" s="31">
        <f>$C26*'Trayectorias TRM'!D24</f>
        <v>18491226.10437049</v>
      </c>
      <c r="H26" s="31">
        <f>$C26*'Trayectorias TRM'!E24</f>
        <v>17119548.79686515</v>
      </c>
      <c r="I26" s="31">
        <f>$C26*'Trayectorias TRM'!F24</f>
        <v>20256123.306584205</v>
      </c>
      <c r="J26" s="31">
        <f>$C26*'Trayectorias TRM'!G24</f>
        <v>12064968.202968866</v>
      </c>
      <c r="K26" s="31">
        <f>$C26*'Trayectorias TRM'!I24</f>
        <v>18546482.013926581</v>
      </c>
      <c r="L26" s="31">
        <f>$C26*'Trayectorias TRM'!K24</f>
        <v>28688023.077157781</v>
      </c>
      <c r="M26" s="31">
        <f>$C26*'Trayectorias TRM'!L24</f>
        <v>19230539.918803889</v>
      </c>
      <c r="N26" s="31">
        <f t="shared" si="0"/>
        <v>8189524.995626105</v>
      </c>
      <c r="O26" s="31">
        <f t="shared" si="1"/>
        <v>8020533.4162491364</v>
      </c>
      <c r="P26" s="31">
        <f>D26*('Trayectorias TRM'!D24-$B$3)</f>
        <v>1152474.5538991184</v>
      </c>
      <c r="Q26" s="31">
        <f>E26*('Trayectorias TRM'!D24-$B$3)</f>
        <v>1128693.1385961312</v>
      </c>
      <c r="R26" s="31">
        <f t="shared" si="2"/>
        <v>87513.552157670259</v>
      </c>
    </row>
    <row r="27" spans="1:18" x14ac:dyDescent="0.3">
      <c r="A27" s="29">
        <v>20</v>
      </c>
      <c r="B27" s="30">
        <f>Amortización!B24</f>
        <v>5</v>
      </c>
      <c r="C27" s="17">
        <f>Amortización!D24</f>
        <v>5106.0609171583947</v>
      </c>
      <c r="D27" s="17">
        <f>Amortización!E24</f>
        <v>2497.5375896071109</v>
      </c>
      <c r="E27" s="17">
        <f>Amortización!F24</f>
        <v>2608.5233275512837</v>
      </c>
      <c r="F27" s="31">
        <f>$C27*'Trayectorias TRM'!C25</f>
        <v>16210058.411875241</v>
      </c>
      <c r="G27" s="31">
        <f>$C27*'Trayectorias TRM'!D25</f>
        <v>18579155.802009154</v>
      </c>
      <c r="H27" s="31">
        <f>$C27*'Trayectorias TRM'!E25</f>
        <v>17200955.878305912</v>
      </c>
      <c r="I27" s="31">
        <f>$C27*'Trayectorias TRM'!F25</f>
        <v>20352445.464326847</v>
      </c>
      <c r="J27" s="31">
        <f>$C27*'Trayectorias TRM'!G25</f>
        <v>11974293.995972643</v>
      </c>
      <c r="K27" s="31">
        <f>$C27*'Trayectorias TRM'!I25</f>
        <v>18638269.08867722</v>
      </c>
      <c r="L27" s="31">
        <f>$C27*'Trayectorias TRM'!K25</f>
        <v>29261395.839510087</v>
      </c>
      <c r="M27" s="31">
        <f>$C27*'Trayectorias TRM'!L25</f>
        <v>19349443.815047652</v>
      </c>
      <c r="N27" s="31">
        <f t="shared" si="0"/>
        <v>7928857.6595980069</v>
      </c>
      <c r="O27" s="31">
        <f t="shared" si="1"/>
        <v>8281200.7522772336</v>
      </c>
      <c r="P27" s="31">
        <f>D27*('Trayectorias TRM'!D25-$B$3)</f>
        <v>1158801.2523345312</v>
      </c>
      <c r="Q27" s="31">
        <f>E27*('Trayectorias TRM'!D25-$B$3)</f>
        <v>1210296.1377993827</v>
      </c>
      <c r="R27" s="31">
        <f t="shared" si="2"/>
        <v>87929.697638664395</v>
      </c>
    </row>
    <row r="28" spans="1:18" x14ac:dyDescent="0.3">
      <c r="A28" s="29">
        <v>21</v>
      </c>
      <c r="B28" s="30">
        <f>Amortización!B25</f>
        <v>6</v>
      </c>
      <c r="C28" s="17">
        <f>Amortización!D25</f>
        <v>5106.0609171583947</v>
      </c>
      <c r="D28" s="17">
        <f>Amortización!E25</f>
        <v>2412.7605814616941</v>
      </c>
      <c r="E28" s="17">
        <f>Amortización!F25</f>
        <v>2693.3003356967006</v>
      </c>
      <c r="F28" s="31">
        <f>$C28*'Trayectorias TRM'!C26</f>
        <v>16210058.411875241</v>
      </c>
      <c r="G28" s="31">
        <f>$C28*'Trayectorias TRM'!D26</f>
        <v>18667503.623988695</v>
      </c>
      <c r="H28" s="31">
        <f>$C28*'Trayectorias TRM'!E26</f>
        <v>17282750.06766573</v>
      </c>
      <c r="I28" s="31">
        <f>$C28*'Trayectorias TRM'!F26</f>
        <v>20449225.654336102</v>
      </c>
      <c r="J28" s="31">
        <f>$C28*'Trayectorias TRM'!G26</f>
        <v>11837675.883641573</v>
      </c>
      <c r="K28" s="31">
        <f>$C28*'Trayectorias TRM'!I26</f>
        <v>18727810.500249024</v>
      </c>
      <c r="L28" s="31">
        <f>$C28*'Trayectorias TRM'!K26</f>
        <v>29842137.302514356</v>
      </c>
      <c r="M28" s="31">
        <f>$C28*'Trayectorias TRM'!L26</f>
        <v>19498883.559749734</v>
      </c>
      <c r="N28" s="31">
        <f t="shared" si="0"/>
        <v>7659718.6351489965</v>
      </c>
      <c r="O28" s="31">
        <f t="shared" si="1"/>
        <v>8550339.776726244</v>
      </c>
      <c r="P28" s="31">
        <f>D28*('Trayectorias TRM'!D26-$B$3)</f>
        <v>1161213.5137214195</v>
      </c>
      <c r="Q28" s="31">
        <f>E28*('Trayectorias TRM'!D26-$B$3)</f>
        <v>1296231.6983920345</v>
      </c>
      <c r="R28" s="31">
        <f t="shared" si="2"/>
        <v>88347.821979541332</v>
      </c>
    </row>
    <row r="29" spans="1:18" x14ac:dyDescent="0.3">
      <c r="A29" s="29">
        <v>22</v>
      </c>
      <c r="B29" s="30">
        <f>Amortización!B26</f>
        <v>6</v>
      </c>
      <c r="C29" s="17">
        <f>Amortización!D26</f>
        <v>5106.0609171583947</v>
      </c>
      <c r="D29" s="17">
        <f>Amortización!E26</f>
        <v>2325.2283205515514</v>
      </c>
      <c r="E29" s="17">
        <f>Amortización!F26</f>
        <v>2780.8325966068433</v>
      </c>
      <c r="F29" s="31">
        <f>$C29*'Trayectorias TRM'!C27</f>
        <v>16210058.411875241</v>
      </c>
      <c r="G29" s="31">
        <f>$C29*'Trayectorias TRM'!D27</f>
        <v>18756271.558578953</v>
      </c>
      <c r="H29" s="31">
        <f>$C29*'Trayectorias TRM'!E27</f>
        <v>17364933.205724653</v>
      </c>
      <c r="I29" s="31">
        <f>$C29*'Trayectorias TRM'!F27</f>
        <v>20546466.054652557</v>
      </c>
      <c r="J29" s="31">
        <f>$C29*'Trayectorias TRM'!G27</f>
        <v>11755451.530774098</v>
      </c>
      <c r="K29" s="31">
        <f>$C29*'Trayectorias TRM'!I27</f>
        <v>18830260.3861732</v>
      </c>
      <c r="L29" s="31">
        <f>$C29*'Trayectorias TRM'!K27</f>
        <v>30304951.309867583</v>
      </c>
      <c r="M29" s="31">
        <f>$C29*'Trayectorias TRM'!L27</f>
        <v>19636098.895407539</v>
      </c>
      <c r="N29" s="31">
        <f t="shared" si="0"/>
        <v>7381832.5924053937</v>
      </c>
      <c r="O29" s="31">
        <f t="shared" si="1"/>
        <v>8828225.8194698468</v>
      </c>
      <c r="P29" s="31">
        <f>D29*('Trayectorias TRM'!D27-$B$3)</f>
        <v>1159509.6523390128</v>
      </c>
      <c r="Q29" s="31">
        <f>E29*('Trayectorias TRM'!D27-$B$3)</f>
        <v>1386703.4943646984</v>
      </c>
      <c r="R29" s="31">
        <f t="shared" si="2"/>
        <v>88767.934590257704</v>
      </c>
    </row>
    <row r="30" spans="1:18" x14ac:dyDescent="0.3">
      <c r="A30" s="29">
        <v>23</v>
      </c>
      <c r="B30" s="30">
        <f>Amortización!B27</f>
        <v>6</v>
      </c>
      <c r="C30" s="17">
        <f>Amortización!D27</f>
        <v>5106.0609171583947</v>
      </c>
      <c r="D30" s="17">
        <f>Amortización!E27</f>
        <v>2234.8512611618294</v>
      </c>
      <c r="E30" s="17">
        <f>Amortización!F27</f>
        <v>2871.2096559965653</v>
      </c>
      <c r="F30" s="31">
        <f>$C30*'Trayectorias TRM'!C28</f>
        <v>16210058.411875241</v>
      </c>
      <c r="G30" s="31">
        <f>$C30*'Trayectorias TRM'!D28</f>
        <v>18845461.603504356</v>
      </c>
      <c r="H30" s="31">
        <f>$C30*'Trayectorias TRM'!E28</f>
        <v>17447507.142016195</v>
      </c>
      <c r="I30" s="31">
        <f>$C30*'Trayectorias TRM'!F28</f>
        <v>20644168.853673615</v>
      </c>
      <c r="J30" s="31">
        <f>$C30*'Trayectorias TRM'!G28</f>
        <v>11652182.401523143</v>
      </c>
      <c r="K30" s="31">
        <f>$C30*'Trayectorias TRM'!I28</f>
        <v>18960416.866701942</v>
      </c>
      <c r="L30" s="31">
        <f>$C30*'Trayectorias TRM'!K28</f>
        <v>30810432.2693705</v>
      </c>
      <c r="M30" s="31">
        <f>$C30*'Trayectorias TRM'!L28</f>
        <v>19765818.366037052</v>
      </c>
      <c r="N30" s="31">
        <f t="shared" si="0"/>
        <v>7094915.2532726247</v>
      </c>
      <c r="O30" s="31">
        <f t="shared" si="1"/>
        <v>9115143.1586026158</v>
      </c>
      <c r="P30" s="31">
        <f>D30*('Trayectorias TRM'!D28-$B$3)</f>
        <v>1153479.0207242519</v>
      </c>
      <c r="Q30" s="31">
        <f>E30*('Trayectorias TRM'!D28-$B$3)</f>
        <v>1481924.1709048643</v>
      </c>
      <c r="R30" s="31">
        <f t="shared" si="2"/>
        <v>89190.04492540285</v>
      </c>
    </row>
    <row r="31" spans="1:18" x14ac:dyDescent="0.3">
      <c r="A31" s="29">
        <v>24</v>
      </c>
      <c r="B31" s="30">
        <f>Amortización!B28</f>
        <v>6</v>
      </c>
      <c r="C31" s="17">
        <f>Amortización!D28</f>
        <v>5106.0609171583947</v>
      </c>
      <c r="D31" s="17">
        <f>Amortización!E28</f>
        <v>2141.5369473419405</v>
      </c>
      <c r="E31" s="17">
        <f>Amortización!F28</f>
        <v>2964.5239698164542</v>
      </c>
      <c r="F31" s="31">
        <f>$C31*'Trayectorias TRM'!C29</f>
        <v>16210058.411875241</v>
      </c>
      <c r="G31" s="31">
        <f>$C31*'Trayectorias TRM'!D29</f>
        <v>18935075.765989009</v>
      </c>
      <c r="H31" s="31">
        <f>$C31*'Trayectorias TRM'!E29</f>
        <v>17530473.734868765</v>
      </c>
      <c r="I31" s="31">
        <f>$C31*'Trayectorias TRM'!F29</f>
        <v>20742336.250203144</v>
      </c>
      <c r="J31" s="31">
        <f>$C31*'Trayectorias TRM'!G29</f>
        <v>11554827.341994697</v>
      </c>
      <c r="K31" s="31">
        <f>$C31*'Trayectorias TRM'!I29</f>
        <v>18994600.662384689</v>
      </c>
      <c r="L31" s="31">
        <f>$C31*'Trayectorias TRM'!K29</f>
        <v>31355226.712230686</v>
      </c>
      <c r="M31" s="31">
        <f>$C31*'Trayectorias TRM'!L29</f>
        <v>19900663.383086108</v>
      </c>
      <c r="N31" s="31">
        <f t="shared" si="0"/>
        <v>6798673.1006180383</v>
      </c>
      <c r="O31" s="31">
        <f t="shared" si="1"/>
        <v>9411385.3112572022</v>
      </c>
      <c r="P31" s="31">
        <f>D31*('Trayectorias TRM'!D29-$B$3)</f>
        <v>1142901.6301729297</v>
      </c>
      <c r="Q31" s="31">
        <f>E31*('Trayectorias TRM'!D29-$B$3)</f>
        <v>1582115.72394084</v>
      </c>
      <c r="R31" s="31">
        <f t="shared" si="2"/>
        <v>89614.162484653294</v>
      </c>
    </row>
    <row r="32" spans="1:18" x14ac:dyDescent="0.3">
      <c r="A32" s="29">
        <v>25</v>
      </c>
      <c r="B32" s="30">
        <f>Amortización!B29</f>
        <v>7</v>
      </c>
      <c r="C32" s="17">
        <f>Amortización!D29</f>
        <v>5106.0609171583947</v>
      </c>
      <c r="D32" s="17">
        <f>Amortización!E29</f>
        <v>2045.1899183229061</v>
      </c>
      <c r="E32" s="17">
        <f>Amortización!F29</f>
        <v>3060.8709988354885</v>
      </c>
      <c r="F32" s="31">
        <f>$C32*'Trayectorias TRM'!C30</f>
        <v>16210058.411875241</v>
      </c>
      <c r="G32" s="31">
        <f>$C32*'Trayectorias TRM'!D30</f>
        <v>19025116.062801722</v>
      </c>
      <c r="H32" s="31">
        <f>$C32*'Trayectorias TRM'!E30</f>
        <v>17613834.851447467</v>
      </c>
      <c r="I32" s="31">
        <f>$C32*'Trayectorias TRM'!F30</f>
        <v>20840970.453500737</v>
      </c>
      <c r="J32" s="31">
        <f>$C32*'Trayectorias TRM'!G30</f>
        <v>11462831.401640879</v>
      </c>
      <c r="K32" s="31">
        <f>$C32*'Trayectorias TRM'!I30</f>
        <v>19095200.827955689</v>
      </c>
      <c r="L32" s="31">
        <f>$C32*'Trayectorias TRM'!K30</f>
        <v>31887899.267268807</v>
      </c>
      <c r="M32" s="31">
        <f>$C32*'Trayectorias TRM'!L30</f>
        <v>20042006.382213656</v>
      </c>
      <c r="N32" s="31">
        <f t="shared" si="0"/>
        <v>6492803.0780021809</v>
      </c>
      <c r="O32" s="31">
        <f t="shared" si="1"/>
        <v>9717255.3338730615</v>
      </c>
      <c r="P32" s="31">
        <f>D32*('Trayectorias TRM'!D30-$B$3)</f>
        <v>1127547.7556144493</v>
      </c>
      <c r="Q32" s="31">
        <f>E32*('Trayectorias TRM'!D30-$B$3)</f>
        <v>1687509.8953120331</v>
      </c>
      <c r="R32" s="31">
        <f t="shared" si="2"/>
        <v>90040.296812713146</v>
      </c>
    </row>
    <row r="33" spans="1:18" x14ac:dyDescent="0.3">
      <c r="A33" s="29">
        <v>26</v>
      </c>
      <c r="B33" s="30">
        <f>Amortización!B30</f>
        <v>7</v>
      </c>
      <c r="C33" s="17">
        <f>Amortización!D30</f>
        <v>5106.0609171583947</v>
      </c>
      <c r="D33" s="17">
        <f>Amortización!E30</f>
        <v>1945.7116108607527</v>
      </c>
      <c r="E33" s="17">
        <f>Amortización!F30</f>
        <v>3160.3493062976422</v>
      </c>
      <c r="F33" s="31">
        <f>$C33*'Trayectorias TRM'!C31</f>
        <v>16210058.411875241</v>
      </c>
      <c r="G33" s="31">
        <f>$C33*'Trayectorias TRM'!D31</f>
        <v>19115584.52030151</v>
      </c>
      <c r="H33" s="31">
        <f>$C33*'Trayectorias TRM'!E31</f>
        <v>17697592.367796186</v>
      </c>
      <c r="I33" s="31">
        <f>$C33*'Trayectorias TRM'!F31</f>
        <v>20940073.683331411</v>
      </c>
      <c r="J33" s="31">
        <f>$C33*'Trayectorias TRM'!G31</f>
        <v>11428733.761262478</v>
      </c>
      <c r="K33" s="31">
        <f>$C33*'Trayectorias TRM'!I31</f>
        <v>19128861.111438241</v>
      </c>
      <c r="L33" s="31">
        <f>$C33*'Trayectorias TRM'!K31</f>
        <v>32424520.842276607</v>
      </c>
      <c r="M33" s="31">
        <f>$C33*'Trayectorias TRM'!L31</f>
        <v>20178950.001751795</v>
      </c>
      <c r="N33" s="31">
        <f t="shared" si="0"/>
        <v>6176992.2796513056</v>
      </c>
      <c r="O33" s="31">
        <f t="shared" si="1"/>
        <v>10033066.132223936</v>
      </c>
      <c r="P33" s="31">
        <f>D33*('Trayectorias TRM'!D31-$B$3)</f>
        <v>1107177.5242294229</v>
      </c>
      <c r="Q33" s="31">
        <f>E33*('Trayectorias TRM'!D31-$B$3)</f>
        <v>1798348.5841968451</v>
      </c>
      <c r="R33" s="31">
        <f t="shared" si="2"/>
        <v>90468.457499787211</v>
      </c>
    </row>
    <row r="34" spans="1:18" x14ac:dyDescent="0.3">
      <c r="A34" s="29">
        <v>27</v>
      </c>
      <c r="B34" s="30">
        <f>Amortización!B31</f>
        <v>7</v>
      </c>
      <c r="C34" s="17">
        <f>Amortización!D31</f>
        <v>5106.0609171583947</v>
      </c>
      <c r="D34" s="17">
        <f>Amortización!E31</f>
        <v>1843.0002584060792</v>
      </c>
      <c r="E34" s="17">
        <f>Amortización!F31</f>
        <v>3263.0606587523152</v>
      </c>
      <c r="F34" s="31">
        <f>$C34*'Trayectorias TRM'!C32</f>
        <v>16210058.411875241</v>
      </c>
      <c r="G34" s="31">
        <f>$C34*'Trayectorias TRM'!D32</f>
        <v>19206483.174483184</v>
      </c>
      <c r="H34" s="31">
        <f>$C34*'Trayectorias TRM'!E32</f>
        <v>17781748.168879859</v>
      </c>
      <c r="I34" s="31">
        <f>$C34*'Trayectorias TRM'!F32</f>
        <v>21039648.170015778</v>
      </c>
      <c r="J34" s="31">
        <f>$C34*'Trayectorias TRM'!G32</f>
        <v>11309361.392994408</v>
      </c>
      <c r="K34" s="31">
        <f>$C34*'Trayectorias TRM'!I32</f>
        <v>19221536.061084356</v>
      </c>
      <c r="L34" s="31">
        <f>$C34*'Trayectorias TRM'!K32</f>
        <v>32827064.767080709</v>
      </c>
      <c r="M34" s="31">
        <f>$C34*'Trayectorias TRM'!L32</f>
        <v>20295802.075690638</v>
      </c>
      <c r="N34" s="31">
        <f t="shared" si="0"/>
        <v>5850917.6303540273</v>
      </c>
      <c r="O34" s="31">
        <f t="shared" si="1"/>
        <v>10359140.781521212</v>
      </c>
      <c r="P34" s="31">
        <f>D34*('Trayectorias TRM'!D32-$B$3)</f>
        <v>1081540.4871538675</v>
      </c>
      <c r="Q34" s="31">
        <f>E34*('Trayectorias TRM'!D32-$B$3)</f>
        <v>1914884.2754540753</v>
      </c>
      <c r="R34" s="31">
        <f t="shared" si="2"/>
        <v>90898.654181674123</v>
      </c>
    </row>
    <row r="35" spans="1:18" x14ac:dyDescent="0.3">
      <c r="A35" s="29">
        <v>28</v>
      </c>
      <c r="B35" s="30">
        <f>Amortización!B32</f>
        <v>7</v>
      </c>
      <c r="C35" s="17">
        <f>Amortización!D32</f>
        <v>5106.0609171583947</v>
      </c>
      <c r="D35" s="17">
        <f>Amortización!E32</f>
        <v>1736.9507869966289</v>
      </c>
      <c r="E35" s="17">
        <f>Amortización!F32</f>
        <v>3369.1101301617655</v>
      </c>
      <c r="F35" s="31">
        <f>$C35*'Trayectorias TRM'!C33</f>
        <v>16210058.411875241</v>
      </c>
      <c r="G35" s="31">
        <f>$C35*'Trayectorias TRM'!D33</f>
        <v>19297814.071023114</v>
      </c>
      <c r="H35" s="31">
        <f>$C35*'Trayectorias TRM'!E33</f>
        <v>17866304.148626752</v>
      </c>
      <c r="I35" s="31">
        <f>$C35*'Trayectorias TRM'!F33</f>
        <v>21139696.154479902</v>
      </c>
      <c r="J35" s="31">
        <f>$C35*'Trayectorias TRM'!G33</f>
        <v>11253021.973531732</v>
      </c>
      <c r="K35" s="31">
        <f>$C35*'Trayectorias TRM'!I33</f>
        <v>19298738.481738586</v>
      </c>
      <c r="L35" s="31">
        <f>$C35*'Trayectorias TRM'!K33</f>
        <v>33380405.21749514</v>
      </c>
      <c r="M35" s="31">
        <f>$C35*'Trayectorias TRM'!L33</f>
        <v>20438674.282242402</v>
      </c>
      <c r="N35" s="31">
        <f t="shared" si="0"/>
        <v>5514245.5549545884</v>
      </c>
      <c r="O35" s="31">
        <f t="shared" si="1"/>
        <v>10695812.856920652</v>
      </c>
      <c r="P35" s="31">
        <f>D35*('Trayectorias TRM'!D33-$B$3)</f>
        <v>1050375.1735878123</v>
      </c>
      <c r="Q35" s="31">
        <f>E35*('Trayectorias TRM'!D33-$B$3)</f>
        <v>2037380.4855600605</v>
      </c>
      <c r="R35" s="31">
        <f t="shared" si="2"/>
        <v>91330.896539930254</v>
      </c>
    </row>
    <row r="36" spans="1:18" x14ac:dyDescent="0.3">
      <c r="A36" s="29">
        <v>29</v>
      </c>
      <c r="B36" s="30">
        <f>Amortización!B33</f>
        <v>8</v>
      </c>
      <c r="C36" s="17">
        <f>Amortización!D33</f>
        <v>5106.0609171583947</v>
      </c>
      <c r="D36" s="17">
        <f>Amortización!E33</f>
        <v>1627.4547077663715</v>
      </c>
      <c r="E36" s="17">
        <f>Amortización!F33</f>
        <v>3478.6062093920232</v>
      </c>
      <c r="F36" s="31">
        <f>$C36*'Trayectorias TRM'!C34</f>
        <v>16210058.411875241</v>
      </c>
      <c r="G36" s="31">
        <f>$C36*'Trayectorias TRM'!D34</f>
        <v>19389579.265325222</v>
      </c>
      <c r="H36" s="31">
        <f>$C36*'Trayectorias TRM'!E34</f>
        <v>17951262.209971212</v>
      </c>
      <c r="I36" s="31">
        <f>$C36*'Trayectorias TRM'!F34</f>
        <v>21240219.888306189</v>
      </c>
      <c r="J36" s="31">
        <f>$C36*'Trayectorias TRM'!G34</f>
        <v>11205006.260303916</v>
      </c>
      <c r="K36" s="31">
        <f>$C36*'Trayectorias TRM'!I34</f>
        <v>19448663.640891984</v>
      </c>
      <c r="L36" s="31">
        <f>$C36*'Trayectorias TRM'!K34</f>
        <v>33855511.747556999</v>
      </c>
      <c r="M36" s="31">
        <f>$C36*'Trayectorias TRM'!L34</f>
        <v>20572579.036232322</v>
      </c>
      <c r="N36" s="31">
        <f t="shared" si="0"/>
        <v>5166631.6371046668</v>
      </c>
      <c r="O36" s="31">
        <f t="shared" si="1"/>
        <v>11043426.774770575</v>
      </c>
      <c r="P36" s="31">
        <f>D36*('Trayectorias TRM'!D34-$B$3)</f>
        <v>1013408.6265990396</v>
      </c>
      <c r="Q36" s="31">
        <f>E36*('Trayectorias TRM'!D34-$B$3)</f>
        <v>2166112.2268509404</v>
      </c>
      <c r="R36" s="31">
        <f t="shared" si="2"/>
        <v>91765.194302108139</v>
      </c>
    </row>
    <row r="37" spans="1:18" x14ac:dyDescent="0.3">
      <c r="A37" s="29">
        <v>30</v>
      </c>
      <c r="B37" s="30">
        <f>Amortización!B34</f>
        <v>8</v>
      </c>
      <c r="C37" s="17">
        <f>Amortización!D34</f>
        <v>5106.0609171583947</v>
      </c>
      <c r="D37" s="17">
        <f>Amortización!E34</f>
        <v>1514.4000059611308</v>
      </c>
      <c r="E37" s="17">
        <f>Amortización!F34</f>
        <v>3591.6609111972639</v>
      </c>
      <c r="F37" s="31">
        <f>$C37*'Trayectorias TRM'!C35</f>
        <v>16210058.411875241</v>
      </c>
      <c r="G37" s="31">
        <f>$C37*'Trayectorias TRM'!D35</f>
        <v>19481780.822567448</v>
      </c>
      <c r="H37" s="31">
        <f>$C37*'Trayectorias TRM'!E35</f>
        <v>18036624.264896426</v>
      </c>
      <c r="I37" s="31">
        <f>$C37*'Trayectorias TRM'!F35</f>
        <v>21341221.633783486</v>
      </c>
      <c r="J37" s="31">
        <f>$C37*'Trayectorias TRM'!G35</f>
        <v>11114915.911668155</v>
      </c>
      <c r="K37" s="31">
        <f>$C37*'Trayectorias TRM'!I35</f>
        <v>19553438.208802935</v>
      </c>
      <c r="L37" s="31">
        <f>$C37*'Trayectorias TRM'!K35</f>
        <v>34296414.830778502</v>
      </c>
      <c r="M37" s="31">
        <f>$C37*'Trayectorias TRM'!L35</f>
        <v>20701981.149395909</v>
      </c>
      <c r="N37" s="31">
        <f t="shared" si="0"/>
        <v>4807720.2669246234</v>
      </c>
      <c r="O37" s="31">
        <f t="shared" si="1"/>
        <v>11402338.144950617</v>
      </c>
      <c r="P37" s="31">
        <f>D37*('Trayectorias TRM'!D35-$B$3)</f>
        <v>970355.91988448368</v>
      </c>
      <c r="Q37" s="31">
        <f>E37*('Trayectorias TRM'!D35-$B$3)</f>
        <v>2301366.4908077237</v>
      </c>
      <c r="R37" s="31">
        <f t="shared" si="2"/>
        <v>92201.557242225856</v>
      </c>
    </row>
    <row r="38" spans="1:18" x14ac:dyDescent="0.3">
      <c r="A38" s="29">
        <v>31</v>
      </c>
      <c r="B38" s="30">
        <f>Amortización!B35</f>
        <v>8</v>
      </c>
      <c r="C38" s="17">
        <f>Amortización!D35</f>
        <v>5106.0609171583947</v>
      </c>
      <c r="D38" s="17">
        <f>Amortización!E35</f>
        <v>1397.6710263472196</v>
      </c>
      <c r="E38" s="17">
        <f>Amortización!F35</f>
        <v>3708.3898908111751</v>
      </c>
      <c r="F38" s="31">
        <f>$C38*'Trayectorias TRM'!C36</f>
        <v>16210058.411875241</v>
      </c>
      <c r="G38" s="31">
        <f>$C38*'Trayectorias TRM'!D36</f>
        <v>19574420.817747977</v>
      </c>
      <c r="H38" s="31">
        <f>$C38*'Trayectorias TRM'!E36</f>
        <v>18122392.234477352</v>
      </c>
      <c r="I38" s="31">
        <f>$C38*'Trayectorias TRM'!F36</f>
        <v>21442703.663958598</v>
      </c>
      <c r="J38" s="31">
        <f>$C38*'Trayectorias TRM'!G36</f>
        <v>11042348.2496987</v>
      </c>
      <c r="K38" s="31">
        <f>$C38*'Trayectorias TRM'!I36</f>
        <v>19644209.125919893</v>
      </c>
      <c r="L38" s="31">
        <f>$C38*'Trayectorias TRM'!K36</f>
        <v>34873621.622588165</v>
      </c>
      <c r="M38" s="31">
        <f>$C38*'Trayectorias TRM'!L36</f>
        <v>20851330.757141773</v>
      </c>
      <c r="N38" s="31">
        <f t="shared" si="0"/>
        <v>4437144.2772137281</v>
      </c>
      <c r="O38" s="31">
        <f t="shared" si="1"/>
        <v>11772914.134661514</v>
      </c>
      <c r="P38" s="31">
        <f>D38*('Trayectorias TRM'!D36-$B$3)</f>
        <v>920919.65472222317</v>
      </c>
      <c r="Q38" s="31">
        <f>E38*('Trayectorias TRM'!D36-$B$3)</f>
        <v>2443442.7511505121</v>
      </c>
      <c r="R38" s="31">
        <f t="shared" si="2"/>
        <v>92639.995180528611</v>
      </c>
    </row>
    <row r="39" spans="1:18" x14ac:dyDescent="0.3">
      <c r="A39" s="29">
        <v>32</v>
      </c>
      <c r="B39" s="30">
        <f>Amortización!B36</f>
        <v>8</v>
      </c>
      <c r="C39" s="17">
        <f>Amortización!D36</f>
        <v>5106.0609171583947</v>
      </c>
      <c r="D39" s="17">
        <f>Amortización!E36</f>
        <v>1277.1483548958565</v>
      </c>
      <c r="E39" s="17">
        <f>Amortización!F36</f>
        <v>3828.9125622625379</v>
      </c>
      <c r="F39" s="31">
        <f>$C39*'Trayectorias TRM'!C37</f>
        <v>16210058.411875241</v>
      </c>
      <c r="G39" s="31">
        <f>$C39*'Trayectorias TRM'!D37</f>
        <v>19667501.335732132</v>
      </c>
      <c r="H39" s="31">
        <f>$C39*'Trayectorias TRM'!E37</f>
        <v>18208568.048924338</v>
      </c>
      <c r="I39" s="31">
        <f>$C39*'Trayectorias TRM'!F37</f>
        <v>21544668.262686953</v>
      </c>
      <c r="J39" s="31">
        <f>$C39*'Trayectorias TRM'!G37</f>
        <v>10999323.528994299</v>
      </c>
      <c r="K39" s="31">
        <f>$C39*'Trayectorias TRM'!I37</f>
        <v>19730678.076983519</v>
      </c>
      <c r="L39" s="31">
        <f>$C39*'Trayectorias TRM'!K37</f>
        <v>35172724.713385038</v>
      </c>
      <c r="M39" s="31">
        <f>$C39*'Trayectorias TRM'!L37</f>
        <v>20991594.149626873</v>
      </c>
      <c r="N39" s="31">
        <f t="shared" si="0"/>
        <v>4054524.567837229</v>
      </c>
      <c r="O39" s="31">
        <f t="shared" si="1"/>
        <v>12155533.844038012</v>
      </c>
      <c r="P39" s="31">
        <f>D39*('Trayectorias TRM'!D37-$B$3)</f>
        <v>864789.43631709355</v>
      </c>
      <c r="Q39" s="31">
        <f>E39*('Trayectorias TRM'!D37-$B$3)</f>
        <v>2592653.4875397985</v>
      </c>
      <c r="R39" s="31">
        <f t="shared" si="2"/>
        <v>93080.517984155566</v>
      </c>
    </row>
    <row r="40" spans="1:18" x14ac:dyDescent="0.3">
      <c r="A40" s="29">
        <v>33</v>
      </c>
      <c r="B40" s="30">
        <f>Amortización!B37</f>
        <v>9</v>
      </c>
      <c r="C40" s="17">
        <f>Amortización!D37</f>
        <v>5106.0609171583947</v>
      </c>
      <c r="D40" s="17">
        <f>Amortización!E37</f>
        <v>1152.7086966223242</v>
      </c>
      <c r="E40" s="17">
        <f>Amortización!F37</f>
        <v>3953.3522205360705</v>
      </c>
      <c r="F40" s="31">
        <f>$C40*'Trayectorias TRM'!C38</f>
        <v>16210058.411875241</v>
      </c>
      <c r="G40" s="31">
        <f>$C40*'Trayectorias TRM'!D38</f>
        <v>19761024.471299127</v>
      </c>
      <c r="H40" s="31">
        <f>$C40*'Trayectorias TRM'!E38</f>
        <v>18295153.647625994</v>
      </c>
      <c r="I40" s="31">
        <f>$C40*'Trayectorias TRM'!F38</f>
        <v>21647117.72468425</v>
      </c>
      <c r="J40" s="31">
        <f>$C40*'Trayectorias TRM'!G38</f>
        <v>10977860.52094846</v>
      </c>
      <c r="K40" s="31">
        <f>$C40*'Trayectorias TRM'!I38</f>
        <v>19803460.309433527</v>
      </c>
      <c r="L40" s="31">
        <f>$C40*'Trayectorias TRM'!K38</f>
        <v>35855167.01115822</v>
      </c>
      <c r="M40" s="31">
        <f>$C40*'Trayectorias TRM'!L38</f>
        <v>21140227.872051466</v>
      </c>
      <c r="N40" s="31">
        <f t="shared" si="0"/>
        <v>3659469.717905994</v>
      </c>
      <c r="O40" s="31">
        <f t="shared" si="1"/>
        <v>12550588.693969248</v>
      </c>
      <c r="P40" s="31">
        <f>D40*('Trayectorias TRM'!D38-$B$3)</f>
        <v>801641.32871069771</v>
      </c>
      <c r="Q40" s="31">
        <f>E40*('Trayectorias TRM'!D38-$B$3)</f>
        <v>2749324.7307131891</v>
      </c>
      <c r="R40" s="31">
        <f t="shared" si="2"/>
        <v>93523.135566994548</v>
      </c>
    </row>
    <row r="41" spans="1:18" x14ac:dyDescent="0.3">
      <c r="A41" s="29">
        <v>34</v>
      </c>
      <c r="B41" s="30">
        <f>Amortización!B38</f>
        <v>9</v>
      </c>
      <c r="C41" s="17">
        <f>Amortización!D38</f>
        <v>5106.0609171583947</v>
      </c>
      <c r="D41" s="17">
        <f>Amortización!E38</f>
        <v>1024.2247494549017</v>
      </c>
      <c r="E41" s="17">
        <f>Amortización!F38</f>
        <v>4081.8361677034927</v>
      </c>
      <c r="F41" s="31">
        <f>$C41*'Trayectorias TRM'!C39</f>
        <v>16210058.411875241</v>
      </c>
      <c r="G41" s="31">
        <f>$C41*'Trayectorias TRM'!D39</f>
        <v>19854992.329189382</v>
      </c>
      <c r="H41" s="31">
        <f>$C41*'Trayectorias TRM'!E39</f>
        <v>18382150.97919333</v>
      </c>
      <c r="I41" s="31">
        <f>$C41*'Trayectorias TRM'!F39</f>
        <v>21750054.355578098</v>
      </c>
      <c r="J41" s="31">
        <f>$C41*'Trayectorias TRM'!G39</f>
        <v>10890016.30232301</v>
      </c>
      <c r="K41" s="31">
        <f>$C41*'Trayectorias TRM'!I39</f>
        <v>19899892.289872877</v>
      </c>
      <c r="L41" s="31">
        <f>$C41*'Trayectorias TRM'!K39</f>
        <v>36240077.284064464</v>
      </c>
      <c r="M41" s="31">
        <f>$C41*'Trayectorias TRM'!L39</f>
        <v>21290366.512845244</v>
      </c>
      <c r="N41" s="31">
        <f t="shared" si="0"/>
        <v>3251575.5853519929</v>
      </c>
      <c r="O41" s="31">
        <f t="shared" si="1"/>
        <v>12958482.826523248</v>
      </c>
      <c r="P41" s="31">
        <f>D41*('Trayectorias TRM'!D39-$B$3)</f>
        <v>731137.28739420406</v>
      </c>
      <c r="Q41" s="31">
        <f>E41*('Trayectorias TRM'!D39-$B$3)</f>
        <v>2913796.6299199378</v>
      </c>
      <c r="R41" s="31">
        <f t="shared" si="2"/>
        <v>93967.857890255749</v>
      </c>
    </row>
    <row r="42" spans="1:18" x14ac:dyDescent="0.3">
      <c r="A42" s="29">
        <v>35</v>
      </c>
      <c r="B42" s="30">
        <f>Amortización!B39</f>
        <v>9</v>
      </c>
      <c r="C42" s="17">
        <f>Amortización!D39</f>
        <v>5106.0609171583947</v>
      </c>
      <c r="D42" s="17">
        <f>Amortización!E39</f>
        <v>891.56507400453825</v>
      </c>
      <c r="E42" s="17">
        <f>Amortización!F39</f>
        <v>4214.4958431538562</v>
      </c>
      <c r="F42" s="31">
        <f>$C42*'Trayectorias TRM'!C40</f>
        <v>16210058.411875241</v>
      </c>
      <c r="G42" s="31">
        <f>$C42*'Trayectorias TRM'!D40</f>
        <v>19949407.024151705</v>
      </c>
      <c r="H42" s="31">
        <f>$C42*'Trayectorias TRM'!E40</f>
        <v>18469562.001503386</v>
      </c>
      <c r="I42" s="31">
        <f>$C42*'Trayectorias TRM'!F40</f>
        <v>21853480.471959803</v>
      </c>
      <c r="J42" s="31">
        <f>$C42*'Trayectorias TRM'!G40</f>
        <v>10844170.165635716</v>
      </c>
      <c r="K42" s="31">
        <f>$C42*'Trayectorias TRM'!I40</f>
        <v>19971127.242500126</v>
      </c>
      <c r="L42" s="31">
        <f>$C42*'Trayectorias TRM'!K40</f>
        <v>36776565.054090723</v>
      </c>
      <c r="M42" s="31">
        <f>$C42*'Trayectorias TRM'!L40</f>
        <v>21453453.380518101</v>
      </c>
      <c r="N42" s="31">
        <f t="shared" si="0"/>
        <v>2830424.8934899876</v>
      </c>
      <c r="O42" s="31">
        <f t="shared" si="1"/>
        <v>13379633.518385254</v>
      </c>
      <c r="P42" s="31">
        <f>D42*('Trayectorias TRM'!D40-$B$3)</f>
        <v>652924.56872770458</v>
      </c>
      <c r="Q42" s="31">
        <f>E42*('Trayectorias TRM'!D40-$B$3)</f>
        <v>3086424.0435487591</v>
      </c>
      <c r="R42" s="31">
        <f t="shared" si="2"/>
        <v>94414.694962322712</v>
      </c>
    </row>
    <row r="43" spans="1:18" x14ac:dyDescent="0.3">
      <c r="A43" s="29">
        <v>36</v>
      </c>
      <c r="B43" s="30">
        <f>Amortización!B40</f>
        <v>9</v>
      </c>
      <c r="C43" s="17">
        <f>Amortización!D40</f>
        <v>5106.0609171583947</v>
      </c>
      <c r="D43" s="17">
        <f>Amortización!E40</f>
        <v>754.59395910203796</v>
      </c>
      <c r="E43" s="17">
        <f>Amortización!F40</f>
        <v>4351.4669580563568</v>
      </c>
      <c r="F43" s="31">
        <f>$C43*'Trayectorias TRM'!C41</f>
        <v>16210058.411875241</v>
      </c>
      <c r="G43" s="31">
        <f>$C43*'Trayectorias TRM'!D41</f>
        <v>20044270.680991087</v>
      </c>
      <c r="H43" s="31">
        <f>$C43*'Trayectorias TRM'!E41</f>
        <v>18557388.681743179</v>
      </c>
      <c r="I43" s="31">
        <f>$C43*'Trayectorias TRM'!F41</f>
        <v>21957398.401436467</v>
      </c>
      <c r="J43" s="31">
        <f>$C43*'Trayectorias TRM'!G41</f>
        <v>10773656.731345793</v>
      </c>
      <c r="K43" s="31">
        <f>$C43*'Trayectorias TRM'!I41</f>
        <v>20075930.457942668</v>
      </c>
      <c r="L43" s="31">
        <f>$C43*'Trayectorias TRM'!K41</f>
        <v>37370342.823373698</v>
      </c>
      <c r="M43" s="31">
        <f>$C43*'Trayectorias TRM'!L41</f>
        <v>21603347.924529292</v>
      </c>
      <c r="N43" s="31">
        <f t="shared" si="0"/>
        <v>2395586.8041424667</v>
      </c>
      <c r="O43" s="31">
        <f t="shared" si="1"/>
        <v>13814471.607732775</v>
      </c>
      <c r="P43" s="31">
        <f>D43*('Trayectorias TRM'!D41-$B$3)</f>
        <v>566635.11523475708</v>
      </c>
      <c r="Q43" s="31">
        <f>E43*('Trayectorias TRM'!D41-$B$3)</f>
        <v>3267577.1538810907</v>
      </c>
      <c r="R43" s="31">
        <f t="shared" si="2"/>
        <v>94863.656839381903</v>
      </c>
    </row>
    <row r="44" spans="1:18" x14ac:dyDescent="0.3">
      <c r="A44" s="29">
        <v>37</v>
      </c>
      <c r="B44" s="30">
        <f>Amortización!B41</f>
        <v>10</v>
      </c>
      <c r="C44" s="17">
        <f>Amortización!D41</f>
        <v>5106.0609171583947</v>
      </c>
      <c r="D44" s="17">
        <f>Amortización!E41</f>
        <v>613.17128296520639</v>
      </c>
      <c r="E44" s="17">
        <f>Amortización!F41</f>
        <v>4492.8896341931886</v>
      </c>
      <c r="F44" s="31">
        <f>$C44*'Trayectorias TRM'!C42</f>
        <v>16210058.411875241</v>
      </c>
      <c r="G44" s="31">
        <f>$C44*'Trayectorias TRM'!D42</f>
        <v>20139585.434616346</v>
      </c>
      <c r="H44" s="31">
        <f>$C44*'Trayectorias TRM'!E42</f>
        <v>18645632.996454336</v>
      </c>
      <c r="I44" s="31">
        <f>$C44*'Trayectorias TRM'!F42</f>
        <v>22061810.482683711</v>
      </c>
      <c r="J44" s="31">
        <f>$C44*'Trayectorias TRM'!G42</f>
        <v>10780143.115449302</v>
      </c>
      <c r="K44" s="31">
        <f>$C44*'Trayectorias TRM'!I42</f>
        <v>20201168.775143754</v>
      </c>
      <c r="L44" s="31">
        <f>$C44*'Trayectorias TRM'!K42</f>
        <v>38070158.136148371</v>
      </c>
      <c r="M44" s="31">
        <f>$C44*'Trayectorias TRM'!L42</f>
        <v>21761218.437361561</v>
      </c>
      <c r="N44" s="31">
        <f t="shared" si="0"/>
        <v>1946616.4768911519</v>
      </c>
      <c r="O44" s="31">
        <f t="shared" si="1"/>
        <v>14263441.93498409</v>
      </c>
      <c r="P44" s="31">
        <f>D44*('Trayectorias TRM'!D42-$B$3)</f>
        <v>471884.91580345709</v>
      </c>
      <c r="Q44" s="31">
        <f>E44*('Trayectorias TRM'!D42-$B$3)</f>
        <v>3457642.1069376497</v>
      </c>
      <c r="R44" s="31">
        <f t="shared" si="2"/>
        <v>95314.753625258803</v>
      </c>
    </row>
    <row r="45" spans="1:18" x14ac:dyDescent="0.3">
      <c r="A45" s="29">
        <v>38</v>
      </c>
      <c r="B45" s="30">
        <f>Amortización!B42</f>
        <v>10</v>
      </c>
      <c r="C45" s="17">
        <f>Amortización!D42</f>
        <v>5106.0609171583947</v>
      </c>
      <c r="D45" s="17">
        <f>Amortización!E42</f>
        <v>467.15236985392772</v>
      </c>
      <c r="E45" s="17">
        <f>Amortización!F42</f>
        <v>4638.908547304467</v>
      </c>
      <c r="F45" s="31">
        <f>$C45*'Trayectorias TRM'!C43</f>
        <v>16210058.411875241</v>
      </c>
      <c r="G45" s="31">
        <f>$C45*'Trayectorias TRM'!D43</f>
        <v>20235353.430088267</v>
      </c>
      <c r="H45" s="31">
        <f>$C45*'Trayectorias TRM'!E43</f>
        <v>18734296.931577161</v>
      </c>
      <c r="I45" s="31">
        <f>$C45*'Trayectorias TRM'!F43</f>
        <v>22166719.065497756</v>
      </c>
      <c r="J45" s="31">
        <f>$C45*'Trayectorias TRM'!G43</f>
        <v>10670379.483572511</v>
      </c>
      <c r="K45" s="31">
        <f>$C45*'Trayectorias TRM'!I43</f>
        <v>20333797.463333689</v>
      </c>
      <c r="L45" s="31">
        <f>$C45*'Trayectorias TRM'!K43</f>
        <v>38639611.922338434</v>
      </c>
      <c r="M45" s="31">
        <f>$C45*'Trayectorias TRM'!L43</f>
        <v>21907839.600355286</v>
      </c>
      <c r="N45" s="31">
        <f t="shared" si="0"/>
        <v>1483054.6140041687</v>
      </c>
      <c r="O45" s="31">
        <f t="shared" si="1"/>
        <v>14727003.797871072</v>
      </c>
      <c r="P45" s="31">
        <f>D45*('Trayectorias TRM'!D43-$B$3)</f>
        <v>368273.33978731913</v>
      </c>
      <c r="Q45" s="31">
        <f>E45*('Trayectorias TRM'!D43-$B$3)</f>
        <v>3657021.678425706</v>
      </c>
      <c r="R45" s="31">
        <f t="shared" si="2"/>
        <v>95767.995471920818</v>
      </c>
    </row>
    <row r="46" spans="1:18" x14ac:dyDescent="0.3">
      <c r="A46" s="29">
        <v>39</v>
      </c>
      <c r="B46" s="30">
        <f>Amortización!B43</f>
        <v>10</v>
      </c>
      <c r="C46" s="17">
        <f>Amortización!D43</f>
        <v>5106.0609171583947</v>
      </c>
      <c r="D46" s="17">
        <f>Amortización!E43</f>
        <v>316.38784206653258</v>
      </c>
      <c r="E46" s="17">
        <f>Amortización!F43</f>
        <v>4789.6730750918623</v>
      </c>
      <c r="F46" s="31">
        <f>$C46*'Trayectorias TRM'!C44</f>
        <v>16210058.411875241</v>
      </c>
      <c r="G46" s="31">
        <f>$C46*'Trayectorias TRM'!D44</f>
        <v>20331576.822667856</v>
      </c>
      <c r="H46" s="31">
        <f>$C46*'Trayectorias TRM'!E44</f>
        <v>18823382.482495677</v>
      </c>
      <c r="I46" s="31">
        <f>$C46*'Trayectorias TRM'!F44</f>
        <v>22272126.510848813</v>
      </c>
      <c r="J46" s="31">
        <f>$C46*'Trayectorias TRM'!G44</f>
        <v>10615995.668592127</v>
      </c>
      <c r="K46" s="31">
        <f>$C46*'Trayectorias TRM'!I44</f>
        <v>20411514.328515895</v>
      </c>
      <c r="L46" s="31">
        <f>$C46*'Trayectorias TRM'!K44</f>
        <v>39073890.499001674</v>
      </c>
      <c r="M46" s="31">
        <f>$C46*'Trayectorias TRM'!L44</f>
        <v>22060875.411113214</v>
      </c>
      <c r="N46" s="31">
        <f t="shared" si="0"/>
        <v>1004426.9905733591</v>
      </c>
      <c r="O46" s="31">
        <f t="shared" si="1"/>
        <v>15205631.421301883</v>
      </c>
      <c r="P46" s="31">
        <f>D46*('Trayectorias TRM'!D44-$B$3)</f>
        <v>255382.44395914034</v>
      </c>
      <c r="Q46" s="31">
        <f>E46*('Trayectorias TRM'!D44-$B$3)</f>
        <v>3866135.9668334755</v>
      </c>
      <c r="R46" s="31">
        <f t="shared" si="2"/>
        <v>96223.392579589039</v>
      </c>
    </row>
    <row r="47" spans="1:18" x14ac:dyDescent="0.3">
      <c r="A47" s="29">
        <v>40</v>
      </c>
      <c r="B47" s="30">
        <f>Amortización!B44</f>
        <v>10</v>
      </c>
      <c r="C47" s="17">
        <f>Amortización!D44</f>
        <v>5106.0609171583947</v>
      </c>
      <c r="D47" s="17">
        <f>Amortización!E44</f>
        <v>160.72346712604704</v>
      </c>
      <c r="E47" s="17">
        <f>Amortización!F44</f>
        <v>4945.337450032348</v>
      </c>
      <c r="F47" s="31">
        <f>$C47*'Trayectorias TRM'!C45</f>
        <v>16210058.411875241</v>
      </c>
      <c r="G47" s="31">
        <f>$C47*'Trayectorias TRM'!D45</f>
        <v>20428257.777864866</v>
      </c>
      <c r="H47" s="31">
        <f>$C47*'Trayectorias TRM'!E45</f>
        <v>18912891.654082272</v>
      </c>
      <c r="I47" s="31">
        <f>$C47*'Trayectorias TRM'!F45</f>
        <v>22378035.190933943</v>
      </c>
      <c r="J47" s="31">
        <f>$C47*'Trayectorias TRM'!G45</f>
        <v>10601092.790080849</v>
      </c>
      <c r="K47" s="31">
        <f>$C47*'Trayectorias TRM'!I45</f>
        <v>20511832.071814291</v>
      </c>
      <c r="L47" s="31">
        <f>$C47*'Trayectorias TRM'!K45</f>
        <v>39723545.486775853</v>
      </c>
      <c r="M47" s="31">
        <f>$C47*'Trayectorias TRM'!L45</f>
        <v>22197402.853365522</v>
      </c>
      <c r="N47" s="31">
        <f t="shared" si="0"/>
        <v>510243.96938104776</v>
      </c>
      <c r="O47" s="31">
        <f t="shared" si="1"/>
        <v>15699814.442494195</v>
      </c>
      <c r="P47" s="31">
        <f>D47*('Trayectorias TRM'!D45-$B$3)</f>
        <v>132776.25122969423</v>
      </c>
      <c r="Q47" s="31">
        <f>E47*('Trayectorias TRM'!D45-$B$3)</f>
        <v>4085423.1147599304</v>
      </c>
      <c r="R47" s="31">
        <f t="shared" si="2"/>
        <v>96680.955197010189</v>
      </c>
    </row>
    <row r="48" spans="1:18" x14ac:dyDescent="0.3">
      <c r="A48" s="32" t="s">
        <v>76</v>
      </c>
      <c r="B48" s="33"/>
      <c r="C48" s="34">
        <f t="shared" ref="C48:Q48" si="3">SUM(C8:C47)</f>
        <v>204242.43668633595</v>
      </c>
      <c r="D48" s="34">
        <f t="shared" si="3"/>
        <v>90844.823706088922</v>
      </c>
      <c r="E48" s="34">
        <f t="shared" si="3"/>
        <v>113397.61298024689</v>
      </c>
      <c r="F48" s="35">
        <f t="shared" si="3"/>
        <v>648402336.4750098</v>
      </c>
      <c r="G48" s="35">
        <f t="shared" si="3"/>
        <v>745000288.52127862</v>
      </c>
      <c r="H48" s="35">
        <f t="shared" si="3"/>
        <v>691556250.84969902</v>
      </c>
      <c r="I48" s="35">
        <f t="shared" si="3"/>
        <v>813681338.78061259</v>
      </c>
      <c r="J48" s="35">
        <f t="shared" si="3"/>
        <v>493354305.53190476</v>
      </c>
      <c r="K48" s="35">
        <f t="shared" si="3"/>
        <v>747111704.35307109</v>
      </c>
      <c r="L48" s="35">
        <f t="shared" si="3"/>
        <v>1169297270.3999522</v>
      </c>
      <c r="M48" s="35">
        <f t="shared" si="3"/>
        <v>778270534.54441857</v>
      </c>
      <c r="N48" s="35">
        <f t="shared" si="3"/>
        <v>288402336.4750092</v>
      </c>
      <c r="O48" s="35">
        <f t="shared" si="3"/>
        <v>360000000.00000054</v>
      </c>
      <c r="P48" s="35">
        <f t="shared" si="3"/>
        <v>34499793.131810136</v>
      </c>
      <c r="Q48" s="35">
        <f t="shared" si="3"/>
        <v>62098158.91445893</v>
      </c>
      <c r="R48" s="33"/>
    </row>
    <row r="51" spans="1:9" ht="15.6" x14ac:dyDescent="0.3">
      <c r="A51" s="12" t="s">
        <v>98</v>
      </c>
    </row>
    <row r="52" spans="1:9" ht="27.6" x14ac:dyDescent="0.3">
      <c r="A52" s="2" t="s">
        <v>1</v>
      </c>
      <c r="B52" s="2" t="s">
        <v>99</v>
      </c>
      <c r="C52" s="2" t="s">
        <v>100</v>
      </c>
      <c r="D52" s="2" t="s">
        <v>101</v>
      </c>
      <c r="E52" s="2" t="s">
        <v>102</v>
      </c>
      <c r="F52" s="2" t="s">
        <v>103</v>
      </c>
      <c r="G52" s="2" t="s">
        <v>104</v>
      </c>
      <c r="H52" s="2" t="s">
        <v>105</v>
      </c>
      <c r="I52" s="2" t="s">
        <v>106</v>
      </c>
    </row>
    <row r="53" spans="1:9" x14ac:dyDescent="0.3">
      <c r="A53" s="15" t="s">
        <v>107</v>
      </c>
      <c r="B53" s="31">
        <f t="shared" ref="B53:I53" si="4">F48</f>
        <v>648402336.4750098</v>
      </c>
      <c r="C53" s="31">
        <f t="shared" si="4"/>
        <v>745000288.52127862</v>
      </c>
      <c r="D53" s="31">
        <f t="shared" si="4"/>
        <v>691556250.84969902</v>
      </c>
      <c r="E53" s="31">
        <f t="shared" si="4"/>
        <v>813681338.78061259</v>
      </c>
      <c r="F53" s="31">
        <f t="shared" si="4"/>
        <v>493354305.53190476</v>
      </c>
      <c r="G53" s="31">
        <f t="shared" si="4"/>
        <v>747111704.35307109</v>
      </c>
      <c r="H53" s="31">
        <f t="shared" si="4"/>
        <v>1169297270.3999522</v>
      </c>
      <c r="I53" s="31">
        <f t="shared" si="4"/>
        <v>778270534.54441857</v>
      </c>
    </row>
    <row r="54" spans="1:9" ht="27.6" x14ac:dyDescent="0.3">
      <c r="A54" s="15" t="s">
        <v>108</v>
      </c>
      <c r="B54" s="31">
        <f t="shared" ref="B54:I54" si="5">B53-$B$53</f>
        <v>0</v>
      </c>
      <c r="C54" s="31">
        <f t="shared" si="5"/>
        <v>96597952.046268821</v>
      </c>
      <c r="D54" s="31">
        <f t="shared" si="5"/>
        <v>43153914.374689221</v>
      </c>
      <c r="E54" s="31">
        <f t="shared" si="5"/>
        <v>165279002.30560279</v>
      </c>
      <c r="F54" s="31">
        <f t="shared" si="5"/>
        <v>-155048030.94310504</v>
      </c>
      <c r="G54" s="31">
        <f t="shared" si="5"/>
        <v>98709367.878061295</v>
      </c>
      <c r="H54" s="31">
        <f t="shared" si="5"/>
        <v>520894933.92494237</v>
      </c>
      <c r="I54" s="31">
        <f t="shared" si="5"/>
        <v>129868198.06940877</v>
      </c>
    </row>
    <row r="55" spans="1:9" ht="27.6" x14ac:dyDescent="0.3">
      <c r="A55" s="15" t="s">
        <v>109</v>
      </c>
      <c r="B55" s="19">
        <f t="shared" ref="B55:I55" si="6">B53/$B$53-1</f>
        <v>0</v>
      </c>
      <c r="C55" s="19">
        <f t="shared" si="6"/>
        <v>0.14897841450019489</v>
      </c>
      <c r="D55" s="19">
        <f t="shared" si="6"/>
        <v>6.6554224047513877E-2</v>
      </c>
      <c r="E55" s="19">
        <f t="shared" si="6"/>
        <v>0.25490192278474755</v>
      </c>
      <c r="F55" s="19">
        <f t="shared" si="6"/>
        <v>-0.23912318358692519</v>
      </c>
      <c r="G55" s="19">
        <f t="shared" si="6"/>
        <v>0.15223475044011603</v>
      </c>
      <c r="H55" s="19">
        <f t="shared" si="6"/>
        <v>0.80335141411850586</v>
      </c>
      <c r="I55" s="19">
        <f t="shared" si="6"/>
        <v>0.20028952822012847</v>
      </c>
    </row>
    <row r="56" spans="1:9" x14ac:dyDescent="0.3">
      <c r="A56" s="15" t="s">
        <v>110</v>
      </c>
      <c r="B56" s="31">
        <f t="shared" ref="B56:I56" si="7">SUM($E$8:$E$47)*$B$3</f>
        <v>360000000.00000042</v>
      </c>
      <c r="C56" s="31">
        <f t="shared" si="7"/>
        <v>360000000.00000042</v>
      </c>
      <c r="D56" s="31">
        <f t="shared" si="7"/>
        <v>360000000.00000042</v>
      </c>
      <c r="E56" s="31">
        <f t="shared" si="7"/>
        <v>360000000.00000042</v>
      </c>
      <c r="F56" s="31">
        <f t="shared" si="7"/>
        <v>360000000.00000042</v>
      </c>
      <c r="G56" s="31">
        <f t="shared" si="7"/>
        <v>360000000.00000042</v>
      </c>
      <c r="H56" s="31">
        <f t="shared" si="7"/>
        <v>360000000.00000042</v>
      </c>
      <c r="I56" s="31">
        <f t="shared" si="7"/>
        <v>360000000.00000042</v>
      </c>
    </row>
    <row r="57" spans="1:9" ht="27.6" x14ac:dyDescent="0.3">
      <c r="A57" s="15" t="s">
        <v>111</v>
      </c>
      <c r="B57" s="31">
        <f t="shared" ref="B57:I57" si="8">SUM($D$8:$D$47)*$B$3</f>
        <v>288402336.47500932</v>
      </c>
      <c r="C57" s="31">
        <f t="shared" si="8"/>
        <v>288402336.47500932</v>
      </c>
      <c r="D57" s="31">
        <f t="shared" si="8"/>
        <v>288402336.47500932</v>
      </c>
      <c r="E57" s="31">
        <f t="shared" si="8"/>
        <v>288402336.47500932</v>
      </c>
      <c r="F57" s="31">
        <f t="shared" si="8"/>
        <v>288402336.47500932</v>
      </c>
      <c r="G57" s="31">
        <f t="shared" si="8"/>
        <v>288402336.47500932</v>
      </c>
      <c r="H57" s="31">
        <f t="shared" si="8"/>
        <v>288402336.47500932</v>
      </c>
      <c r="I57" s="31">
        <f t="shared" si="8"/>
        <v>288402336.47500932</v>
      </c>
    </row>
    <row r="58" spans="1:9" ht="27.6" x14ac:dyDescent="0.3">
      <c r="A58" s="15" t="s">
        <v>112</v>
      </c>
      <c r="B58" s="31">
        <f>SUMPRODUCT($D$8:$D$47,'Trayectorias TRM'!C$6:C$45-$B$3)</f>
        <v>0</v>
      </c>
      <c r="C58" s="31">
        <f>SUMPRODUCT($D$8:$D$47,'Trayectorias TRM'!D$6:D$45-$B$3)</f>
        <v>34499793.131810136</v>
      </c>
      <c r="D58" s="31">
        <f>SUMPRODUCT($D$8:$D$47,'Trayectorias TRM'!E$6:E$45-$B$3)</f>
        <v>11849470.082093926</v>
      </c>
      <c r="E58" s="31">
        <f>SUMPRODUCT($D$8:$D$47,'Trayectorias TRM'!F$6:F$45-$B$3)</f>
        <v>63583566.574476361</v>
      </c>
      <c r="F58" s="31">
        <f>SUMPRODUCT($D$8:$D$47,'Trayectorias TRM'!G$6:G$45-$B$3)</f>
        <v>-58191284.458499096</v>
      </c>
      <c r="G58" s="31">
        <f>SUMPRODUCT($D$8:$D$47,'Trayectorias TRM'!I$6:I$45-$B$3)</f>
        <v>35383118.031399526</v>
      </c>
      <c r="H58" s="31">
        <f>SUMPRODUCT($D$8:$D$47,'Trayectorias TRM'!K$6:K$45-$B$3)</f>
        <v>181763659.81931755</v>
      </c>
      <c r="I58" s="31">
        <f>SUMPRODUCT($D$8:$D$47,'Trayectorias TRM'!L$6:L$45-$B$3)</f>
        <v>45127940.162409045</v>
      </c>
    </row>
    <row r="59" spans="1:9" ht="27.6" x14ac:dyDescent="0.3">
      <c r="A59" s="15" t="s">
        <v>113</v>
      </c>
      <c r="B59" s="31">
        <f>SUMPRODUCT($E$8:$E$47,'Trayectorias TRM'!C$6:C$45-$B$3)</f>
        <v>0</v>
      </c>
      <c r="C59" s="31">
        <f>SUMPRODUCT($E$8:$E$47,'Trayectorias TRM'!D$6:D$45-$B$3)</f>
        <v>62098158.91445893</v>
      </c>
      <c r="D59" s="31">
        <f>SUMPRODUCT($E$8:$E$47,'Trayectorias TRM'!E$6:E$45-$B$3)</f>
        <v>31304444.292595301</v>
      </c>
      <c r="E59" s="31">
        <f>SUMPRODUCT($E$8:$E$47,'Trayectorias TRM'!F$6:F$45-$B$3)</f>
        <v>101695435.73112692</v>
      </c>
      <c r="F59" s="31">
        <f>SUMPRODUCT($E$8:$E$47,'Trayectorias TRM'!G$6:G$45-$B$3)</f>
        <v>-96856746.484605908</v>
      </c>
      <c r="G59" s="31">
        <f>SUMPRODUCT($E$8:$E$47,'Trayectorias TRM'!I$6:I$45-$B$3)</f>
        <v>63326249.84666191</v>
      </c>
      <c r="H59" s="31">
        <f>SUMPRODUCT($E$8:$E$47,'Trayectorias TRM'!K$6:K$45-$B$3)</f>
        <v>339131274.10562515</v>
      </c>
      <c r="I59" s="31">
        <f>SUMPRODUCT($E$8:$E$47,'Trayectorias TRM'!L$6:L$45-$B$3)</f>
        <v>84740257.906999677</v>
      </c>
    </row>
    <row r="60" spans="1:9" x14ac:dyDescent="0.3">
      <c r="A60" s="15" t="s">
        <v>114</v>
      </c>
      <c r="B60" s="31">
        <f t="shared" ref="B60:I60" si="9">ROUND(SUM(B56:B59)-B53,0)</f>
        <v>0</v>
      </c>
      <c r="C60" s="31">
        <f t="shared" si="9"/>
        <v>0</v>
      </c>
      <c r="D60" s="31">
        <f t="shared" si="9"/>
        <v>0</v>
      </c>
      <c r="E60" s="31">
        <f t="shared" si="9"/>
        <v>0</v>
      </c>
      <c r="F60" s="31">
        <f t="shared" si="9"/>
        <v>0</v>
      </c>
      <c r="G60" s="31">
        <f t="shared" si="9"/>
        <v>0</v>
      </c>
      <c r="H60" s="31">
        <f t="shared" si="9"/>
        <v>0</v>
      </c>
      <c r="I60" s="31">
        <f t="shared" si="9"/>
        <v>0</v>
      </c>
    </row>
    <row r="61" spans="1:9" x14ac:dyDescent="0.3">
      <c r="A61" s="15" t="s">
        <v>115</v>
      </c>
      <c r="B61" s="31">
        <f t="shared" ref="B61:I61" si="10">MAX(F8:F47)</f>
        <v>16210058.411875241</v>
      </c>
      <c r="C61" s="31">
        <f t="shared" si="10"/>
        <v>20428257.777864866</v>
      </c>
      <c r="D61" s="31">
        <f t="shared" si="10"/>
        <v>18912891.654082272</v>
      </c>
      <c r="E61" s="31">
        <f t="shared" si="10"/>
        <v>22378035.190933943</v>
      </c>
      <c r="F61" s="31">
        <f t="shared" si="10"/>
        <v>15515504.581848331</v>
      </c>
      <c r="G61" s="31">
        <f t="shared" si="10"/>
        <v>20511832.071814291</v>
      </c>
      <c r="H61" s="31">
        <f t="shared" si="10"/>
        <v>39723545.486775853</v>
      </c>
      <c r="I61" s="31">
        <f t="shared" si="10"/>
        <v>22197402.853365522</v>
      </c>
    </row>
    <row r="62" spans="1:9" ht="27.6" x14ac:dyDescent="0.3">
      <c r="A62" s="15" t="s">
        <v>116</v>
      </c>
      <c r="B62" s="19">
        <f t="shared" ref="B62:I62" si="11">(1+IRR(B68:B108))^4-1</f>
        <v>0.13647592816406329</v>
      </c>
      <c r="C62" s="19">
        <f t="shared" si="11"/>
        <v>0.16939587389087518</v>
      </c>
      <c r="D62" s="19">
        <f t="shared" si="11"/>
        <v>0.14891638445240019</v>
      </c>
      <c r="E62" s="19">
        <f t="shared" si="11"/>
        <v>0.19485354913789155</v>
      </c>
      <c r="F62" s="19">
        <f t="shared" si="11"/>
        <v>7.2495105419327022E-2</v>
      </c>
      <c r="G62" s="19">
        <f t="shared" si="11"/>
        <v>0.17017612306998031</v>
      </c>
      <c r="H62" s="19">
        <f t="shared" si="11"/>
        <v>0.28062053892944272</v>
      </c>
      <c r="I62" s="19">
        <f t="shared" si="11"/>
        <v>0.178949155341253</v>
      </c>
    </row>
    <row r="63" spans="1:9" ht="27.6" x14ac:dyDescent="0.3">
      <c r="A63" s="15" t="s">
        <v>117</v>
      </c>
      <c r="B63" s="36">
        <f>AVERAGE('Trayectorias TRM'!C$6:C$45)</f>
        <v>3174.6699999999987</v>
      </c>
      <c r="C63" s="36">
        <f>AVERAGE('Trayectorias TRM'!D$6:D$45)</f>
        <v>3647.6273031613346</v>
      </c>
      <c r="D63" s="36">
        <f>AVERAGE('Trayectorias TRM'!E$6:E$45)</f>
        <v>3385.9576984569203</v>
      </c>
      <c r="E63" s="36">
        <f>AVERAGE('Trayectorias TRM'!F$6:F$45)</f>
        <v>3983.8994872070566</v>
      </c>
      <c r="F63" s="36">
        <f>AVERAGE('Trayectorias TRM'!G$6:G$45)</f>
        <v>2415.5328027620967</v>
      </c>
      <c r="G63" s="36">
        <f>AVERAGE('Trayectorias TRM'!I$6:I$45)</f>
        <v>3657.9650951797244</v>
      </c>
      <c r="H63" s="36">
        <f>AVERAGE('Trayectorias TRM'!K$6:K$45)</f>
        <v>5725.0456338595959</v>
      </c>
      <c r="I63" s="36">
        <f>AVERAGE('Trayectorias TRM'!L$6:L$45)</f>
        <v>3810.5231565545955</v>
      </c>
    </row>
    <row r="65" spans="1:9" x14ac:dyDescent="0.3">
      <c r="A65" s="37"/>
    </row>
    <row r="66" spans="1:9" x14ac:dyDescent="0.3">
      <c r="A66" s="14" t="s">
        <v>118</v>
      </c>
    </row>
    <row r="67" spans="1:9" ht="27.6" x14ac:dyDescent="0.3">
      <c r="A67" s="2" t="s">
        <v>69</v>
      </c>
      <c r="B67" s="2" t="s">
        <v>99</v>
      </c>
      <c r="C67" s="2" t="s">
        <v>100</v>
      </c>
      <c r="D67" s="2" t="s">
        <v>101</v>
      </c>
      <c r="E67" s="2" t="s">
        <v>102</v>
      </c>
      <c r="F67" s="2" t="s">
        <v>103</v>
      </c>
      <c r="G67" s="2" t="s">
        <v>104</v>
      </c>
      <c r="H67" s="2" t="s">
        <v>105</v>
      </c>
      <c r="I67" s="2" t="s">
        <v>106</v>
      </c>
    </row>
    <row r="68" spans="1:9" x14ac:dyDescent="0.3">
      <c r="A68" s="29">
        <v>0</v>
      </c>
      <c r="B68" s="31">
        <f t="shared" ref="B68:I68" si="12">$B$5</f>
        <v>360000000</v>
      </c>
      <c r="C68" s="31">
        <f t="shared" si="12"/>
        <v>360000000</v>
      </c>
      <c r="D68" s="31">
        <f t="shared" si="12"/>
        <v>360000000</v>
      </c>
      <c r="E68" s="31">
        <f t="shared" si="12"/>
        <v>360000000</v>
      </c>
      <c r="F68" s="31">
        <f t="shared" si="12"/>
        <v>360000000</v>
      </c>
      <c r="G68" s="31">
        <f t="shared" si="12"/>
        <v>360000000</v>
      </c>
      <c r="H68" s="31">
        <f t="shared" si="12"/>
        <v>360000000</v>
      </c>
      <c r="I68" s="31">
        <f t="shared" si="12"/>
        <v>360000000</v>
      </c>
    </row>
    <row r="69" spans="1:9" x14ac:dyDescent="0.3">
      <c r="A69" s="29">
        <v>1</v>
      </c>
      <c r="B69" s="31">
        <f t="shared" ref="B69:B108" si="13">-F8</f>
        <v>-16210058.411875241</v>
      </c>
      <c r="C69" s="31">
        <f t="shared" ref="C69:C108" si="14">-G8</f>
        <v>-16457120.855643827</v>
      </c>
      <c r="D69" s="31">
        <f t="shared" ref="D69:D108" si="15">-H8</f>
        <v>-16143046.946416695</v>
      </c>
      <c r="E69" s="31">
        <f t="shared" ref="E69:E108" si="16">-I8</f>
        <v>-16836488.352096204</v>
      </c>
      <c r="F69" s="31">
        <f t="shared" ref="F69:F108" si="17">-J8</f>
        <v>-15272255.479063468</v>
      </c>
      <c r="G69" s="31">
        <f t="shared" ref="G69:G108" si="18">-K8</f>
        <v>-16477735.428715555</v>
      </c>
      <c r="H69" s="31">
        <f t="shared" ref="H69:H108" si="19">-L8</f>
        <v>-17784896.588784389</v>
      </c>
      <c r="I69" s="31">
        <f t="shared" ref="I69:I108" si="20">-M8</f>
        <v>-16497254.759918176</v>
      </c>
    </row>
    <row r="70" spans="1:9" x14ac:dyDescent="0.3">
      <c r="A70" s="29">
        <v>2</v>
      </c>
      <c r="B70" s="31">
        <f t="shared" si="13"/>
        <v>-16210058.411875241</v>
      </c>
      <c r="C70" s="31">
        <f t="shared" si="14"/>
        <v>-16707948.853463475</v>
      </c>
      <c r="D70" s="31">
        <f t="shared" si="15"/>
        <v>-16076312.502569629</v>
      </c>
      <c r="E70" s="31">
        <f t="shared" si="16"/>
        <v>-17487126.37720092</v>
      </c>
      <c r="F70" s="31">
        <f t="shared" si="17"/>
        <v>-15150280.513364634</v>
      </c>
      <c r="G70" s="31">
        <f t="shared" si="18"/>
        <v>-16736021.985709986</v>
      </c>
      <c r="H70" s="31">
        <f t="shared" si="19"/>
        <v>-18525209.825496469</v>
      </c>
      <c r="I70" s="31">
        <f t="shared" si="20"/>
        <v>-16774908.148726752</v>
      </c>
    </row>
    <row r="71" spans="1:9" x14ac:dyDescent="0.3">
      <c r="A71" s="29">
        <v>3</v>
      </c>
      <c r="B71" s="31">
        <f t="shared" si="13"/>
        <v>-16210058.411875241</v>
      </c>
      <c r="C71" s="31">
        <f t="shared" si="14"/>
        <v>-16962599.797291875</v>
      </c>
      <c r="D71" s="31">
        <f t="shared" si="15"/>
        <v>-16009853.935142308</v>
      </c>
      <c r="E71" s="31">
        <f t="shared" si="16"/>
        <v>-18162907.997030314</v>
      </c>
      <c r="F71" s="31">
        <f t="shared" si="17"/>
        <v>-15259964.032393146</v>
      </c>
      <c r="G71" s="31">
        <f t="shared" si="18"/>
        <v>-16977448.054686029</v>
      </c>
      <c r="H71" s="31">
        <f t="shared" si="19"/>
        <v>-19069517.197623204</v>
      </c>
      <c r="I71" s="31">
        <f t="shared" si="20"/>
        <v>-17047664.619182717</v>
      </c>
    </row>
    <row r="72" spans="1:9" x14ac:dyDescent="0.3">
      <c r="A72" s="29">
        <v>4</v>
      </c>
      <c r="B72" s="31">
        <f t="shared" si="13"/>
        <v>-16210058.411875241</v>
      </c>
      <c r="C72" s="31">
        <f t="shared" si="14"/>
        <v>-17221131.95381495</v>
      </c>
      <c r="D72" s="31">
        <f t="shared" si="15"/>
        <v>-15943670.103677237</v>
      </c>
      <c r="E72" s="31">
        <f t="shared" si="16"/>
        <v>-18864804.873754911</v>
      </c>
      <c r="F72" s="31">
        <f t="shared" si="17"/>
        <v>-15515504.581848331</v>
      </c>
      <c r="G72" s="31">
        <f t="shared" si="18"/>
        <v>-17212007.429484751</v>
      </c>
      <c r="H72" s="31">
        <f t="shared" si="19"/>
        <v>-19562390.374292746</v>
      </c>
      <c r="I72" s="31">
        <f t="shared" si="20"/>
        <v>-17319920.769591387</v>
      </c>
    </row>
    <row r="73" spans="1:9" x14ac:dyDescent="0.3">
      <c r="A73" s="29">
        <v>5</v>
      </c>
      <c r="B73" s="31">
        <f t="shared" si="13"/>
        <v>-16210058.411875241</v>
      </c>
      <c r="C73" s="31">
        <f t="shared" si="14"/>
        <v>-17303022.08468822</v>
      </c>
      <c r="D73" s="31">
        <f t="shared" si="15"/>
        <v>-16019485.632812724</v>
      </c>
      <c r="E73" s="31">
        <f t="shared" si="16"/>
        <v>-18954511.017587602</v>
      </c>
      <c r="F73" s="31">
        <f t="shared" si="17"/>
        <v>-14885803.096740838</v>
      </c>
      <c r="G73" s="31">
        <f t="shared" si="18"/>
        <v>-17323662.183773551</v>
      </c>
      <c r="H73" s="31">
        <f t="shared" si="19"/>
        <v>-20416124.401112031</v>
      </c>
      <c r="I73" s="31">
        <f t="shared" si="20"/>
        <v>-17443285.685791288</v>
      </c>
    </row>
    <row r="74" spans="1:9" x14ac:dyDescent="0.3">
      <c r="A74" s="29">
        <v>6</v>
      </c>
      <c r="B74" s="31">
        <f t="shared" si="13"/>
        <v>-16210058.411875241</v>
      </c>
      <c r="C74" s="31">
        <f t="shared" si="14"/>
        <v>-17385301.620482896</v>
      </c>
      <c r="D74" s="31">
        <f t="shared" si="15"/>
        <v>-16095661.680851383</v>
      </c>
      <c r="E74" s="31">
        <f t="shared" si="16"/>
        <v>-19044643.733139198</v>
      </c>
      <c r="F74" s="31">
        <f t="shared" si="17"/>
        <v>-14454139.04697663</v>
      </c>
      <c r="G74" s="31">
        <f t="shared" si="18"/>
        <v>-17408079.431019727</v>
      </c>
      <c r="H74" s="31">
        <f t="shared" si="19"/>
        <v>-21166429.855403133</v>
      </c>
      <c r="I74" s="31">
        <f t="shared" si="20"/>
        <v>-17561633.972167265</v>
      </c>
    </row>
    <row r="75" spans="1:9" x14ac:dyDescent="0.3">
      <c r="A75" s="29">
        <v>7</v>
      </c>
      <c r="B75" s="31">
        <f t="shared" si="13"/>
        <v>-16210058.411875241</v>
      </c>
      <c r="C75" s="31">
        <f t="shared" si="14"/>
        <v>-17467972.41290186</v>
      </c>
      <c r="D75" s="31">
        <f t="shared" si="15"/>
        <v>-16172199.962136978</v>
      </c>
      <c r="E75" s="31">
        <f t="shared" si="16"/>
        <v>-19135205.048848562</v>
      </c>
      <c r="F75" s="31">
        <f t="shared" si="17"/>
        <v>-14084080.52727819</v>
      </c>
      <c r="G75" s="31">
        <f t="shared" si="18"/>
        <v>-17525366.920880176</v>
      </c>
      <c r="H75" s="31">
        <f t="shared" si="19"/>
        <v>-21933653.249258302</v>
      </c>
      <c r="I75" s="31">
        <f t="shared" si="20"/>
        <v>-17705403.636549689</v>
      </c>
    </row>
    <row r="76" spans="1:9" x14ac:dyDescent="0.3">
      <c r="A76" s="29">
        <v>8</v>
      </c>
      <c r="B76" s="31">
        <f t="shared" si="13"/>
        <v>-16210058.411875241</v>
      </c>
      <c r="C76" s="31">
        <f t="shared" si="14"/>
        <v>-17551036.322453193</v>
      </c>
      <c r="D76" s="31">
        <f t="shared" si="15"/>
        <v>-16249102.199165307</v>
      </c>
      <c r="E76" s="31">
        <f t="shared" si="16"/>
        <v>-19226197.002800271</v>
      </c>
      <c r="F76" s="31">
        <f t="shared" si="17"/>
        <v>-13791879.041944573</v>
      </c>
      <c r="G76" s="31">
        <f t="shared" si="18"/>
        <v>-17626131.788134009</v>
      </c>
      <c r="H76" s="31">
        <f t="shared" si="19"/>
        <v>-22555924.639426101</v>
      </c>
      <c r="I76" s="31">
        <f t="shared" si="20"/>
        <v>-17822281.353011113</v>
      </c>
    </row>
    <row r="77" spans="1:9" x14ac:dyDescent="0.3">
      <c r="A77" s="29">
        <v>9</v>
      </c>
      <c r="B77" s="31">
        <f t="shared" si="13"/>
        <v>-16210058.411875241</v>
      </c>
      <c r="C77" s="31">
        <f t="shared" si="14"/>
        <v>-17634495.218492199</v>
      </c>
      <c r="D77" s="31">
        <f t="shared" si="15"/>
        <v>-16326370.122623058</v>
      </c>
      <c r="E77" s="31">
        <f t="shared" si="16"/>
        <v>-19317621.642770357</v>
      </c>
      <c r="F77" s="31">
        <f t="shared" si="17"/>
        <v>-13564800.745011467</v>
      </c>
      <c r="G77" s="31">
        <f t="shared" si="18"/>
        <v>-17712530.480812561</v>
      </c>
      <c r="H77" s="31">
        <f t="shared" si="19"/>
        <v>-23134021.893751584</v>
      </c>
      <c r="I77" s="31">
        <f t="shared" si="20"/>
        <v>-17946940.292143434</v>
      </c>
    </row>
    <row r="78" spans="1:9" x14ac:dyDescent="0.3">
      <c r="A78" s="29">
        <v>10</v>
      </c>
      <c r="B78" s="31">
        <f t="shared" si="13"/>
        <v>-16210058.411875241</v>
      </c>
      <c r="C78" s="31">
        <f t="shared" si="14"/>
        <v>-17718350.979263313</v>
      </c>
      <c r="D78" s="31">
        <f t="shared" si="15"/>
        <v>-16404005.471426655</v>
      </c>
      <c r="E78" s="31">
        <f t="shared" si="16"/>
        <v>-19409481.026272509</v>
      </c>
      <c r="F78" s="31">
        <f t="shared" si="17"/>
        <v>-13344234.828954836</v>
      </c>
      <c r="G78" s="31">
        <f t="shared" si="18"/>
        <v>-17806301.668484565</v>
      </c>
      <c r="H78" s="31">
        <f t="shared" si="19"/>
        <v>-23820800.449385379</v>
      </c>
      <c r="I78" s="31">
        <f t="shared" si="20"/>
        <v>-18079269.160348158</v>
      </c>
    </row>
    <row r="79" spans="1:9" x14ac:dyDescent="0.3">
      <c r="A79" s="29">
        <v>11</v>
      </c>
      <c r="B79" s="31">
        <f t="shared" si="13"/>
        <v>-16210058.411875241</v>
      </c>
      <c r="C79" s="31">
        <f t="shared" si="14"/>
        <v>-17802605.491942395</v>
      </c>
      <c r="D79" s="31">
        <f t="shared" si="15"/>
        <v>-16482009.992761489</v>
      </c>
      <c r="E79" s="31">
        <f t="shared" si="16"/>
        <v>-19501777.220604405</v>
      </c>
      <c r="F79" s="31">
        <f t="shared" si="17"/>
        <v>-13144317.590888079</v>
      </c>
      <c r="G79" s="31">
        <f t="shared" si="18"/>
        <v>-17861467.012712017</v>
      </c>
      <c r="H79" s="31">
        <f t="shared" si="19"/>
        <v>-24397435.111627769</v>
      </c>
      <c r="I79" s="31">
        <f t="shared" si="20"/>
        <v>-18201769.710341282</v>
      </c>
    </row>
    <row r="80" spans="1:9" x14ac:dyDescent="0.3">
      <c r="A80" s="29">
        <v>12</v>
      </c>
      <c r="B80" s="31">
        <f t="shared" si="13"/>
        <v>-16210058.411875241</v>
      </c>
      <c r="C80" s="31">
        <f t="shared" si="14"/>
        <v>-17887260.652679212</v>
      </c>
      <c r="D80" s="31">
        <f t="shared" si="15"/>
        <v>-16560385.442121126</v>
      </c>
      <c r="E80" s="31">
        <f t="shared" si="16"/>
        <v>-19594512.302894011</v>
      </c>
      <c r="F80" s="31">
        <f t="shared" si="17"/>
        <v>-12966516.541140247</v>
      </c>
      <c r="G80" s="31">
        <f t="shared" si="18"/>
        <v>-17936894.343825344</v>
      </c>
      <c r="H80" s="31">
        <f t="shared" si="19"/>
        <v>-24934327.786138691</v>
      </c>
      <c r="I80" s="31">
        <f t="shared" si="20"/>
        <v>-18337266.935813982</v>
      </c>
    </row>
    <row r="81" spans="1:9" x14ac:dyDescent="0.3">
      <c r="A81" s="29">
        <v>13</v>
      </c>
      <c r="B81" s="31">
        <f t="shared" si="13"/>
        <v>-16210058.411875241</v>
      </c>
      <c r="C81" s="31">
        <f t="shared" si="14"/>
        <v>-17972318.36664027</v>
      </c>
      <c r="D81" s="31">
        <f t="shared" si="15"/>
        <v>-16639133.583346922</v>
      </c>
      <c r="E81" s="31">
        <f t="shared" si="16"/>
        <v>-19687688.360146556</v>
      </c>
      <c r="F81" s="31">
        <f t="shared" si="17"/>
        <v>-12830507.204105189</v>
      </c>
      <c r="G81" s="31">
        <f t="shared" si="18"/>
        <v>-18014835.580308869</v>
      </c>
      <c r="H81" s="31">
        <f t="shared" si="19"/>
        <v>-25515705.650751337</v>
      </c>
      <c r="I81" s="31">
        <f t="shared" si="20"/>
        <v>-18458646.388764992</v>
      </c>
    </row>
    <row r="82" spans="1:9" x14ac:dyDescent="0.3">
      <c r="A82" s="29">
        <v>14</v>
      </c>
      <c r="B82" s="31">
        <f t="shared" si="13"/>
        <v>-16210058.411875241</v>
      </c>
      <c r="C82" s="31">
        <f t="shared" si="14"/>
        <v>-18057780.548051298</v>
      </c>
      <c r="D82" s="31">
        <f t="shared" si="15"/>
        <v>-16718256.188667705</v>
      </c>
      <c r="E82" s="31">
        <f t="shared" si="16"/>
        <v>-19781307.489291415</v>
      </c>
      <c r="F82" s="31">
        <f t="shared" si="17"/>
        <v>-12732092.70081846</v>
      </c>
      <c r="G82" s="31">
        <f t="shared" si="18"/>
        <v>-18112970.418622848</v>
      </c>
      <c r="H82" s="31">
        <f t="shared" si="19"/>
        <v>-26023870.265282217</v>
      </c>
      <c r="I82" s="31">
        <f t="shared" si="20"/>
        <v>-18577286.763171777</v>
      </c>
    </row>
    <row r="83" spans="1:9" x14ac:dyDescent="0.3">
      <c r="A83" s="29">
        <v>15</v>
      </c>
      <c r="B83" s="31">
        <f t="shared" si="13"/>
        <v>-16210058.411875241</v>
      </c>
      <c r="C83" s="31">
        <f t="shared" si="14"/>
        <v>-18143649.1202408</v>
      </c>
      <c r="D83" s="31">
        <f t="shared" si="15"/>
        <v>-16797755.03873951</v>
      </c>
      <c r="E83" s="31">
        <f t="shared" si="16"/>
        <v>-19875371.797229327</v>
      </c>
      <c r="F83" s="31">
        <f t="shared" si="17"/>
        <v>-12563959.628438788</v>
      </c>
      <c r="G83" s="31">
        <f t="shared" si="18"/>
        <v>-18202254.25350504</v>
      </c>
      <c r="H83" s="31">
        <f t="shared" si="19"/>
        <v>-26625899.503161833</v>
      </c>
      <c r="I83" s="31">
        <f t="shared" si="20"/>
        <v>-18713669.55107782</v>
      </c>
    </row>
    <row r="84" spans="1:9" x14ac:dyDescent="0.3">
      <c r="A84" s="29">
        <v>16</v>
      </c>
      <c r="B84" s="31">
        <f t="shared" si="13"/>
        <v>-16210058.411875241</v>
      </c>
      <c r="C84" s="31">
        <f t="shared" si="14"/>
        <v>-18229926.015683014</v>
      </c>
      <c r="D84" s="31">
        <f t="shared" si="15"/>
        <v>-16877631.922685891</v>
      </c>
      <c r="E84" s="31">
        <f t="shared" si="16"/>
        <v>-19969883.400879689</v>
      </c>
      <c r="F84" s="31">
        <f t="shared" si="17"/>
        <v>-12439663.771439346</v>
      </c>
      <c r="G84" s="31">
        <f t="shared" si="18"/>
        <v>-18295715.887275375</v>
      </c>
      <c r="H84" s="31">
        <f t="shared" si="19"/>
        <v>-27228672.867405556</v>
      </c>
      <c r="I84" s="31">
        <f t="shared" si="20"/>
        <v>-18840160.99537028</v>
      </c>
    </row>
    <row r="85" spans="1:9" x14ac:dyDescent="0.3">
      <c r="A85" s="29">
        <v>17</v>
      </c>
      <c r="B85" s="31">
        <f t="shared" si="13"/>
        <v>-16210058.411875241</v>
      </c>
      <c r="C85" s="31">
        <f t="shared" si="14"/>
        <v>-18316613.176041488</v>
      </c>
      <c r="D85" s="31">
        <f t="shared" si="15"/>
        <v>-16957888.638137925</v>
      </c>
      <c r="E85" s="31">
        <f t="shared" si="16"/>
        <v>-20064844.427228495</v>
      </c>
      <c r="F85" s="31">
        <f t="shared" si="17"/>
        <v>-12339095.843797849</v>
      </c>
      <c r="G85" s="31">
        <f t="shared" si="18"/>
        <v>-18371256.993069183</v>
      </c>
      <c r="H85" s="31">
        <f t="shared" si="19"/>
        <v>-27668694.749817096</v>
      </c>
      <c r="I85" s="31">
        <f t="shared" si="20"/>
        <v>-18968197.177312925</v>
      </c>
    </row>
    <row r="86" spans="1:9" x14ac:dyDescent="0.3">
      <c r="A86" s="29">
        <v>18</v>
      </c>
      <c r="B86" s="31">
        <f t="shared" si="13"/>
        <v>-16210058.411875241</v>
      </c>
      <c r="C86" s="31">
        <f t="shared" si="14"/>
        <v>-18403712.552212819</v>
      </c>
      <c r="D86" s="31">
        <f t="shared" si="15"/>
        <v>-17038526.991274998</v>
      </c>
      <c r="E86" s="31">
        <f t="shared" si="16"/>
        <v>-20160257.01337583</v>
      </c>
      <c r="F86" s="31">
        <f t="shared" si="17"/>
        <v>-12206953.742783206</v>
      </c>
      <c r="G86" s="31">
        <f t="shared" si="18"/>
        <v>-18483136.500566822</v>
      </c>
      <c r="H86" s="31">
        <f t="shared" si="19"/>
        <v>-28204008.255202066</v>
      </c>
      <c r="I86" s="31">
        <f t="shared" si="20"/>
        <v>-19105876.860568311</v>
      </c>
    </row>
    <row r="87" spans="1:9" x14ac:dyDescent="0.3">
      <c r="A87" s="29">
        <v>19</v>
      </c>
      <c r="B87" s="31">
        <f t="shared" si="13"/>
        <v>-16210058.411875241</v>
      </c>
      <c r="C87" s="31">
        <f t="shared" si="14"/>
        <v>-18491226.10437049</v>
      </c>
      <c r="D87" s="31">
        <f t="shared" si="15"/>
        <v>-17119548.79686515</v>
      </c>
      <c r="E87" s="31">
        <f t="shared" si="16"/>
        <v>-20256123.306584205</v>
      </c>
      <c r="F87" s="31">
        <f t="shared" si="17"/>
        <v>-12064968.202968866</v>
      </c>
      <c r="G87" s="31">
        <f t="shared" si="18"/>
        <v>-18546482.013926581</v>
      </c>
      <c r="H87" s="31">
        <f t="shared" si="19"/>
        <v>-28688023.077157781</v>
      </c>
      <c r="I87" s="31">
        <f t="shared" si="20"/>
        <v>-19230539.918803889</v>
      </c>
    </row>
    <row r="88" spans="1:9" x14ac:dyDescent="0.3">
      <c r="A88" s="29">
        <v>20</v>
      </c>
      <c r="B88" s="31">
        <f t="shared" si="13"/>
        <v>-16210058.411875241</v>
      </c>
      <c r="C88" s="31">
        <f t="shared" si="14"/>
        <v>-18579155.802009154</v>
      </c>
      <c r="D88" s="31">
        <f t="shared" si="15"/>
        <v>-17200955.878305912</v>
      </c>
      <c r="E88" s="31">
        <f t="shared" si="16"/>
        <v>-20352445.464326847</v>
      </c>
      <c r="F88" s="31">
        <f t="shared" si="17"/>
        <v>-11974293.995972643</v>
      </c>
      <c r="G88" s="31">
        <f t="shared" si="18"/>
        <v>-18638269.08867722</v>
      </c>
      <c r="H88" s="31">
        <f t="shared" si="19"/>
        <v>-29261395.839510087</v>
      </c>
      <c r="I88" s="31">
        <f t="shared" si="20"/>
        <v>-19349443.815047652</v>
      </c>
    </row>
    <row r="89" spans="1:9" x14ac:dyDescent="0.3">
      <c r="A89" s="29">
        <v>21</v>
      </c>
      <c r="B89" s="31">
        <f t="shared" si="13"/>
        <v>-16210058.411875241</v>
      </c>
      <c r="C89" s="31">
        <f t="shared" si="14"/>
        <v>-18667503.623988695</v>
      </c>
      <c r="D89" s="31">
        <f t="shared" si="15"/>
        <v>-17282750.06766573</v>
      </c>
      <c r="E89" s="31">
        <f t="shared" si="16"/>
        <v>-20449225.654336102</v>
      </c>
      <c r="F89" s="31">
        <f t="shared" si="17"/>
        <v>-11837675.883641573</v>
      </c>
      <c r="G89" s="31">
        <f t="shared" si="18"/>
        <v>-18727810.500249024</v>
      </c>
      <c r="H89" s="31">
        <f t="shared" si="19"/>
        <v>-29842137.302514356</v>
      </c>
      <c r="I89" s="31">
        <f t="shared" si="20"/>
        <v>-19498883.559749734</v>
      </c>
    </row>
    <row r="90" spans="1:9" x14ac:dyDescent="0.3">
      <c r="A90" s="29">
        <v>22</v>
      </c>
      <c r="B90" s="31">
        <f t="shared" si="13"/>
        <v>-16210058.411875241</v>
      </c>
      <c r="C90" s="31">
        <f t="shared" si="14"/>
        <v>-18756271.558578953</v>
      </c>
      <c r="D90" s="31">
        <f t="shared" si="15"/>
        <v>-17364933.205724653</v>
      </c>
      <c r="E90" s="31">
        <f t="shared" si="16"/>
        <v>-20546466.054652557</v>
      </c>
      <c r="F90" s="31">
        <f t="shared" si="17"/>
        <v>-11755451.530774098</v>
      </c>
      <c r="G90" s="31">
        <f t="shared" si="18"/>
        <v>-18830260.3861732</v>
      </c>
      <c r="H90" s="31">
        <f t="shared" si="19"/>
        <v>-30304951.309867583</v>
      </c>
      <c r="I90" s="31">
        <f t="shared" si="20"/>
        <v>-19636098.895407539</v>
      </c>
    </row>
    <row r="91" spans="1:9" x14ac:dyDescent="0.3">
      <c r="A91" s="29">
        <v>23</v>
      </c>
      <c r="B91" s="31">
        <f t="shared" si="13"/>
        <v>-16210058.411875241</v>
      </c>
      <c r="C91" s="31">
        <f t="shared" si="14"/>
        <v>-18845461.603504356</v>
      </c>
      <c r="D91" s="31">
        <f t="shared" si="15"/>
        <v>-17447507.142016195</v>
      </c>
      <c r="E91" s="31">
        <f t="shared" si="16"/>
        <v>-20644168.853673615</v>
      </c>
      <c r="F91" s="31">
        <f t="shared" si="17"/>
        <v>-11652182.401523143</v>
      </c>
      <c r="G91" s="31">
        <f t="shared" si="18"/>
        <v>-18960416.866701942</v>
      </c>
      <c r="H91" s="31">
        <f t="shared" si="19"/>
        <v>-30810432.2693705</v>
      </c>
      <c r="I91" s="31">
        <f t="shared" si="20"/>
        <v>-19765818.366037052</v>
      </c>
    </row>
    <row r="92" spans="1:9" x14ac:dyDescent="0.3">
      <c r="A92" s="29">
        <v>24</v>
      </c>
      <c r="B92" s="31">
        <f t="shared" si="13"/>
        <v>-16210058.411875241</v>
      </c>
      <c r="C92" s="31">
        <f t="shared" si="14"/>
        <v>-18935075.765989009</v>
      </c>
      <c r="D92" s="31">
        <f t="shared" si="15"/>
        <v>-17530473.734868765</v>
      </c>
      <c r="E92" s="31">
        <f t="shared" si="16"/>
        <v>-20742336.250203144</v>
      </c>
      <c r="F92" s="31">
        <f t="shared" si="17"/>
        <v>-11554827.341994697</v>
      </c>
      <c r="G92" s="31">
        <f t="shared" si="18"/>
        <v>-18994600.662384689</v>
      </c>
      <c r="H92" s="31">
        <f t="shared" si="19"/>
        <v>-31355226.712230686</v>
      </c>
      <c r="I92" s="31">
        <f t="shared" si="20"/>
        <v>-19900663.383086108</v>
      </c>
    </row>
    <row r="93" spans="1:9" x14ac:dyDescent="0.3">
      <c r="A93" s="29">
        <v>25</v>
      </c>
      <c r="B93" s="31">
        <f t="shared" si="13"/>
        <v>-16210058.411875241</v>
      </c>
      <c r="C93" s="31">
        <f t="shared" si="14"/>
        <v>-19025116.062801722</v>
      </c>
      <c r="D93" s="31">
        <f t="shared" si="15"/>
        <v>-17613834.851447467</v>
      </c>
      <c r="E93" s="31">
        <f t="shared" si="16"/>
        <v>-20840970.453500737</v>
      </c>
      <c r="F93" s="31">
        <f t="shared" si="17"/>
        <v>-11462831.401640879</v>
      </c>
      <c r="G93" s="31">
        <f t="shared" si="18"/>
        <v>-19095200.827955689</v>
      </c>
      <c r="H93" s="31">
        <f t="shared" si="19"/>
        <v>-31887899.267268807</v>
      </c>
      <c r="I93" s="31">
        <f t="shared" si="20"/>
        <v>-20042006.382213656</v>
      </c>
    </row>
    <row r="94" spans="1:9" x14ac:dyDescent="0.3">
      <c r="A94" s="29">
        <v>26</v>
      </c>
      <c r="B94" s="31">
        <f t="shared" si="13"/>
        <v>-16210058.411875241</v>
      </c>
      <c r="C94" s="31">
        <f t="shared" si="14"/>
        <v>-19115584.52030151</v>
      </c>
      <c r="D94" s="31">
        <f t="shared" si="15"/>
        <v>-17697592.367796186</v>
      </c>
      <c r="E94" s="31">
        <f t="shared" si="16"/>
        <v>-20940073.683331411</v>
      </c>
      <c r="F94" s="31">
        <f t="shared" si="17"/>
        <v>-11428733.761262478</v>
      </c>
      <c r="G94" s="31">
        <f t="shared" si="18"/>
        <v>-19128861.111438241</v>
      </c>
      <c r="H94" s="31">
        <f t="shared" si="19"/>
        <v>-32424520.842276607</v>
      </c>
      <c r="I94" s="31">
        <f t="shared" si="20"/>
        <v>-20178950.001751795</v>
      </c>
    </row>
    <row r="95" spans="1:9" x14ac:dyDescent="0.3">
      <c r="A95" s="29">
        <v>27</v>
      </c>
      <c r="B95" s="31">
        <f t="shared" si="13"/>
        <v>-16210058.411875241</v>
      </c>
      <c r="C95" s="31">
        <f t="shared" si="14"/>
        <v>-19206483.174483184</v>
      </c>
      <c r="D95" s="31">
        <f t="shared" si="15"/>
        <v>-17781748.168879859</v>
      </c>
      <c r="E95" s="31">
        <f t="shared" si="16"/>
        <v>-21039648.170015778</v>
      </c>
      <c r="F95" s="31">
        <f t="shared" si="17"/>
        <v>-11309361.392994408</v>
      </c>
      <c r="G95" s="31">
        <f t="shared" si="18"/>
        <v>-19221536.061084356</v>
      </c>
      <c r="H95" s="31">
        <f t="shared" si="19"/>
        <v>-32827064.767080709</v>
      </c>
      <c r="I95" s="31">
        <f t="shared" si="20"/>
        <v>-20295802.075690638</v>
      </c>
    </row>
    <row r="96" spans="1:9" x14ac:dyDescent="0.3">
      <c r="A96" s="29">
        <v>28</v>
      </c>
      <c r="B96" s="31">
        <f t="shared" si="13"/>
        <v>-16210058.411875241</v>
      </c>
      <c r="C96" s="31">
        <f t="shared" si="14"/>
        <v>-19297814.071023114</v>
      </c>
      <c r="D96" s="31">
        <f t="shared" si="15"/>
        <v>-17866304.148626752</v>
      </c>
      <c r="E96" s="31">
        <f t="shared" si="16"/>
        <v>-21139696.154479902</v>
      </c>
      <c r="F96" s="31">
        <f t="shared" si="17"/>
        <v>-11253021.973531732</v>
      </c>
      <c r="G96" s="31">
        <f t="shared" si="18"/>
        <v>-19298738.481738586</v>
      </c>
      <c r="H96" s="31">
        <f t="shared" si="19"/>
        <v>-33380405.21749514</v>
      </c>
      <c r="I96" s="31">
        <f t="shared" si="20"/>
        <v>-20438674.282242402</v>
      </c>
    </row>
    <row r="97" spans="1:10" x14ac:dyDescent="0.3">
      <c r="A97" s="29">
        <v>29</v>
      </c>
      <c r="B97" s="31">
        <f t="shared" si="13"/>
        <v>-16210058.411875241</v>
      </c>
      <c r="C97" s="31">
        <f t="shared" si="14"/>
        <v>-19389579.265325222</v>
      </c>
      <c r="D97" s="31">
        <f t="shared" si="15"/>
        <v>-17951262.209971212</v>
      </c>
      <c r="E97" s="31">
        <f t="shared" si="16"/>
        <v>-21240219.888306189</v>
      </c>
      <c r="F97" s="31">
        <f t="shared" si="17"/>
        <v>-11205006.260303916</v>
      </c>
      <c r="G97" s="31">
        <f t="shared" si="18"/>
        <v>-19448663.640891984</v>
      </c>
      <c r="H97" s="31">
        <f t="shared" si="19"/>
        <v>-33855511.747556999</v>
      </c>
      <c r="I97" s="31">
        <f t="shared" si="20"/>
        <v>-20572579.036232322</v>
      </c>
    </row>
    <row r="98" spans="1:10" x14ac:dyDescent="0.3">
      <c r="A98" s="29">
        <v>30</v>
      </c>
      <c r="B98" s="31">
        <f t="shared" si="13"/>
        <v>-16210058.411875241</v>
      </c>
      <c r="C98" s="31">
        <f t="shared" si="14"/>
        <v>-19481780.822567448</v>
      </c>
      <c r="D98" s="31">
        <f t="shared" si="15"/>
        <v>-18036624.264896426</v>
      </c>
      <c r="E98" s="31">
        <f t="shared" si="16"/>
        <v>-21341221.633783486</v>
      </c>
      <c r="F98" s="31">
        <f t="shared" si="17"/>
        <v>-11114915.911668155</v>
      </c>
      <c r="G98" s="31">
        <f t="shared" si="18"/>
        <v>-19553438.208802935</v>
      </c>
      <c r="H98" s="31">
        <f t="shared" si="19"/>
        <v>-34296414.830778502</v>
      </c>
      <c r="I98" s="31">
        <f t="shared" si="20"/>
        <v>-20701981.149395909</v>
      </c>
    </row>
    <row r="99" spans="1:10" x14ac:dyDescent="0.3">
      <c r="A99" s="29">
        <v>31</v>
      </c>
      <c r="B99" s="31">
        <f t="shared" si="13"/>
        <v>-16210058.411875241</v>
      </c>
      <c r="C99" s="31">
        <f t="shared" si="14"/>
        <v>-19574420.817747977</v>
      </c>
      <c r="D99" s="31">
        <f t="shared" si="15"/>
        <v>-18122392.234477352</v>
      </c>
      <c r="E99" s="31">
        <f t="shared" si="16"/>
        <v>-21442703.663958598</v>
      </c>
      <c r="F99" s="31">
        <f t="shared" si="17"/>
        <v>-11042348.2496987</v>
      </c>
      <c r="G99" s="31">
        <f t="shared" si="18"/>
        <v>-19644209.125919893</v>
      </c>
      <c r="H99" s="31">
        <f t="shared" si="19"/>
        <v>-34873621.622588165</v>
      </c>
      <c r="I99" s="31">
        <f t="shared" si="20"/>
        <v>-20851330.757141773</v>
      </c>
    </row>
    <row r="100" spans="1:10" x14ac:dyDescent="0.3">
      <c r="A100" s="29">
        <v>32</v>
      </c>
      <c r="B100" s="31">
        <f t="shared" si="13"/>
        <v>-16210058.411875241</v>
      </c>
      <c r="C100" s="31">
        <f t="shared" si="14"/>
        <v>-19667501.335732132</v>
      </c>
      <c r="D100" s="31">
        <f t="shared" si="15"/>
        <v>-18208568.048924338</v>
      </c>
      <c r="E100" s="31">
        <f t="shared" si="16"/>
        <v>-21544668.262686953</v>
      </c>
      <c r="F100" s="31">
        <f t="shared" si="17"/>
        <v>-10999323.528994299</v>
      </c>
      <c r="G100" s="31">
        <f t="shared" si="18"/>
        <v>-19730678.076983519</v>
      </c>
      <c r="H100" s="31">
        <f t="shared" si="19"/>
        <v>-35172724.713385038</v>
      </c>
      <c r="I100" s="31">
        <f t="shared" si="20"/>
        <v>-20991594.149626873</v>
      </c>
    </row>
    <row r="101" spans="1:10" x14ac:dyDescent="0.3">
      <c r="A101" s="29">
        <v>33</v>
      </c>
      <c r="B101" s="31">
        <f t="shared" si="13"/>
        <v>-16210058.411875241</v>
      </c>
      <c r="C101" s="31">
        <f t="shared" si="14"/>
        <v>-19761024.471299127</v>
      </c>
      <c r="D101" s="31">
        <f t="shared" si="15"/>
        <v>-18295153.647625994</v>
      </c>
      <c r="E101" s="31">
        <f t="shared" si="16"/>
        <v>-21647117.72468425</v>
      </c>
      <c r="F101" s="31">
        <f t="shared" si="17"/>
        <v>-10977860.52094846</v>
      </c>
      <c r="G101" s="31">
        <f t="shared" si="18"/>
        <v>-19803460.309433527</v>
      </c>
      <c r="H101" s="31">
        <f t="shared" si="19"/>
        <v>-35855167.01115822</v>
      </c>
      <c r="I101" s="31">
        <f t="shared" si="20"/>
        <v>-21140227.872051466</v>
      </c>
    </row>
    <row r="102" spans="1:10" x14ac:dyDescent="0.3">
      <c r="A102" s="29">
        <v>34</v>
      </c>
      <c r="B102" s="31">
        <f t="shared" si="13"/>
        <v>-16210058.411875241</v>
      </c>
      <c r="C102" s="31">
        <f t="shared" si="14"/>
        <v>-19854992.329189382</v>
      </c>
      <c r="D102" s="31">
        <f t="shared" si="15"/>
        <v>-18382150.97919333</v>
      </c>
      <c r="E102" s="31">
        <f t="shared" si="16"/>
        <v>-21750054.355578098</v>
      </c>
      <c r="F102" s="31">
        <f t="shared" si="17"/>
        <v>-10890016.30232301</v>
      </c>
      <c r="G102" s="31">
        <f t="shared" si="18"/>
        <v>-19899892.289872877</v>
      </c>
      <c r="H102" s="31">
        <f t="shared" si="19"/>
        <v>-36240077.284064464</v>
      </c>
      <c r="I102" s="31">
        <f t="shared" si="20"/>
        <v>-21290366.512845244</v>
      </c>
    </row>
    <row r="103" spans="1:10" x14ac:dyDescent="0.3">
      <c r="A103" s="29">
        <v>35</v>
      </c>
      <c r="B103" s="31">
        <f t="shared" si="13"/>
        <v>-16210058.411875241</v>
      </c>
      <c r="C103" s="31">
        <f t="shared" si="14"/>
        <v>-19949407.024151705</v>
      </c>
      <c r="D103" s="31">
        <f t="shared" si="15"/>
        <v>-18469562.001503386</v>
      </c>
      <c r="E103" s="31">
        <f t="shared" si="16"/>
        <v>-21853480.471959803</v>
      </c>
      <c r="F103" s="31">
        <f t="shared" si="17"/>
        <v>-10844170.165635716</v>
      </c>
      <c r="G103" s="31">
        <f t="shared" si="18"/>
        <v>-19971127.242500126</v>
      </c>
      <c r="H103" s="31">
        <f t="shared" si="19"/>
        <v>-36776565.054090723</v>
      </c>
      <c r="I103" s="31">
        <f t="shared" si="20"/>
        <v>-21453453.380518101</v>
      </c>
    </row>
    <row r="104" spans="1:10" x14ac:dyDescent="0.3">
      <c r="A104" s="29">
        <v>36</v>
      </c>
      <c r="B104" s="31">
        <f t="shared" si="13"/>
        <v>-16210058.411875241</v>
      </c>
      <c r="C104" s="31">
        <f t="shared" si="14"/>
        <v>-20044270.680991087</v>
      </c>
      <c r="D104" s="31">
        <f t="shared" si="15"/>
        <v>-18557388.681743179</v>
      </c>
      <c r="E104" s="31">
        <f t="shared" si="16"/>
        <v>-21957398.401436467</v>
      </c>
      <c r="F104" s="31">
        <f t="shared" si="17"/>
        <v>-10773656.731345793</v>
      </c>
      <c r="G104" s="31">
        <f t="shared" si="18"/>
        <v>-20075930.457942668</v>
      </c>
      <c r="H104" s="31">
        <f t="shared" si="19"/>
        <v>-37370342.823373698</v>
      </c>
      <c r="I104" s="31">
        <f t="shared" si="20"/>
        <v>-21603347.924529292</v>
      </c>
    </row>
    <row r="105" spans="1:10" x14ac:dyDescent="0.3">
      <c r="A105" s="29">
        <v>37</v>
      </c>
      <c r="B105" s="31">
        <f t="shared" si="13"/>
        <v>-16210058.411875241</v>
      </c>
      <c r="C105" s="31">
        <f t="shared" si="14"/>
        <v>-20139585.434616346</v>
      </c>
      <c r="D105" s="31">
        <f t="shared" si="15"/>
        <v>-18645632.996454336</v>
      </c>
      <c r="E105" s="31">
        <f t="shared" si="16"/>
        <v>-22061810.482683711</v>
      </c>
      <c r="F105" s="31">
        <f t="shared" si="17"/>
        <v>-10780143.115449302</v>
      </c>
      <c r="G105" s="31">
        <f t="shared" si="18"/>
        <v>-20201168.775143754</v>
      </c>
      <c r="H105" s="31">
        <f t="shared" si="19"/>
        <v>-38070158.136148371</v>
      </c>
      <c r="I105" s="31">
        <f t="shared" si="20"/>
        <v>-21761218.437361561</v>
      </c>
    </row>
    <row r="106" spans="1:10" x14ac:dyDescent="0.3">
      <c r="A106" s="29">
        <v>38</v>
      </c>
      <c r="B106" s="31">
        <f t="shared" si="13"/>
        <v>-16210058.411875241</v>
      </c>
      <c r="C106" s="31">
        <f t="shared" si="14"/>
        <v>-20235353.430088267</v>
      </c>
      <c r="D106" s="31">
        <f t="shared" si="15"/>
        <v>-18734296.931577161</v>
      </c>
      <c r="E106" s="31">
        <f t="shared" si="16"/>
        <v>-22166719.065497756</v>
      </c>
      <c r="F106" s="31">
        <f t="shared" si="17"/>
        <v>-10670379.483572511</v>
      </c>
      <c r="G106" s="31">
        <f t="shared" si="18"/>
        <v>-20333797.463333689</v>
      </c>
      <c r="H106" s="31">
        <f t="shared" si="19"/>
        <v>-38639611.922338434</v>
      </c>
      <c r="I106" s="31">
        <f t="shared" si="20"/>
        <v>-21907839.600355286</v>
      </c>
    </row>
    <row r="107" spans="1:10" x14ac:dyDescent="0.3">
      <c r="A107" s="29">
        <v>39</v>
      </c>
      <c r="B107" s="31">
        <f t="shared" si="13"/>
        <v>-16210058.411875241</v>
      </c>
      <c r="C107" s="31">
        <f t="shared" si="14"/>
        <v>-20331576.822667856</v>
      </c>
      <c r="D107" s="31">
        <f t="shared" si="15"/>
        <v>-18823382.482495677</v>
      </c>
      <c r="E107" s="31">
        <f t="shared" si="16"/>
        <v>-22272126.510848813</v>
      </c>
      <c r="F107" s="31">
        <f t="shared" si="17"/>
        <v>-10615995.668592127</v>
      </c>
      <c r="G107" s="31">
        <f t="shared" si="18"/>
        <v>-20411514.328515895</v>
      </c>
      <c r="H107" s="31">
        <f t="shared" si="19"/>
        <v>-39073890.499001674</v>
      </c>
      <c r="I107" s="31">
        <f t="shared" si="20"/>
        <v>-22060875.411113214</v>
      </c>
    </row>
    <row r="108" spans="1:10" x14ac:dyDescent="0.3">
      <c r="A108" s="29">
        <v>40</v>
      </c>
      <c r="B108" s="31">
        <f t="shared" si="13"/>
        <v>-16210058.411875241</v>
      </c>
      <c r="C108" s="31">
        <f t="shared" si="14"/>
        <v>-20428257.777864866</v>
      </c>
      <c r="D108" s="31">
        <f t="shared" si="15"/>
        <v>-18912891.654082272</v>
      </c>
      <c r="E108" s="31">
        <f t="shared" si="16"/>
        <v>-22378035.190933943</v>
      </c>
      <c r="F108" s="31">
        <f t="shared" si="17"/>
        <v>-10601092.790080849</v>
      </c>
      <c r="G108" s="31">
        <f t="shared" si="18"/>
        <v>-20511832.071814291</v>
      </c>
      <c r="H108" s="31">
        <f t="shared" si="19"/>
        <v>-39723545.486775853</v>
      </c>
      <c r="I108" s="31">
        <f t="shared" si="20"/>
        <v>-22197402.853365522</v>
      </c>
    </row>
    <row r="111" spans="1:10" ht="15.6" x14ac:dyDescent="0.3">
      <c r="A111" s="12" t="s">
        <v>119</v>
      </c>
    </row>
    <row r="112" spans="1:10" ht="27.6" x14ac:dyDescent="0.3">
      <c r="A112" s="2" t="s">
        <v>70</v>
      </c>
      <c r="B112" s="2" t="s">
        <v>99</v>
      </c>
      <c r="C112" s="2" t="s">
        <v>100</v>
      </c>
      <c r="D112" s="2" t="s">
        <v>101</v>
      </c>
      <c r="E112" s="2" t="s">
        <v>102</v>
      </c>
      <c r="F112" s="2" t="s">
        <v>105</v>
      </c>
      <c r="G112" s="2" t="s">
        <v>120</v>
      </c>
      <c r="H112" s="2" t="s">
        <v>121</v>
      </c>
      <c r="I112" s="2" t="s">
        <v>122</v>
      </c>
      <c r="J112" s="2" t="s">
        <v>123</v>
      </c>
    </row>
    <row r="113" spans="1:10" x14ac:dyDescent="0.3">
      <c r="A113" s="29">
        <v>1</v>
      </c>
      <c r="B113" s="31">
        <f t="shared" ref="B113:B122" si="21">SUMIF($B$8:$B$47,$A113,F$8:F$47)</f>
        <v>64840233.647500962</v>
      </c>
      <c r="C113" s="31">
        <f t="shared" ref="C113:C122" si="22">SUMIF($B$8:$B$47,$A113,G$8:G$47)</f>
        <v>67348801.460214123</v>
      </c>
      <c r="D113" s="31">
        <f t="shared" ref="D113:D122" si="23">SUMIF($B$8:$B$47,$A113,H$8:H$47)</f>
        <v>64172883.487805866</v>
      </c>
      <c r="E113" s="31">
        <f t="shared" ref="E113:E122" si="24">SUMIF($B$8:$B$47,$A113,I$8:I$47)</f>
        <v>71351327.600082338</v>
      </c>
      <c r="F113" s="31">
        <f t="shared" ref="F113:F122" si="25">SUMIF($B$8:$B$47,$A113,L$8:L$47)</f>
        <v>74942013.986196816</v>
      </c>
      <c r="G113" s="31">
        <f t="shared" ref="G113:G122" si="26">C113-B113</f>
        <v>2508567.8127131611</v>
      </c>
      <c r="H113" s="31">
        <f t="shared" ref="H113:H122" si="27">F113-B113</f>
        <v>10101780.338695854</v>
      </c>
      <c r="I113" s="18">
        <f t="shared" ref="I113:I122" si="28">SUMIF($B$8:$B$47,$A113,$D$8:$D$47)</f>
        <v>14458.614215350017</v>
      </c>
      <c r="J113" s="18">
        <f t="shared" ref="J113:J122" si="29">SUMIF($B$8:$B$47,$A113,$E$8:$E$47)</f>
        <v>5965.6294532835618</v>
      </c>
    </row>
    <row r="114" spans="1:10" x14ac:dyDescent="0.3">
      <c r="A114" s="29">
        <v>2</v>
      </c>
      <c r="B114" s="31">
        <f t="shared" si="21"/>
        <v>64840233.647500962</v>
      </c>
      <c r="C114" s="31">
        <f t="shared" si="22"/>
        <v>69707332.440526158</v>
      </c>
      <c r="D114" s="31">
        <f t="shared" si="23"/>
        <v>64536449.474966392</v>
      </c>
      <c r="E114" s="31">
        <f t="shared" si="24"/>
        <v>76360556.802375644</v>
      </c>
      <c r="F114" s="31">
        <f t="shared" si="25"/>
        <v>86072132.145199567</v>
      </c>
      <c r="G114" s="31">
        <f t="shared" si="26"/>
        <v>4867098.7930251956</v>
      </c>
      <c r="H114" s="31">
        <f t="shared" si="27"/>
        <v>21231898.497698605</v>
      </c>
      <c r="I114" s="18">
        <f t="shared" si="28"/>
        <v>13644.449398630275</v>
      </c>
      <c r="J114" s="18">
        <f t="shared" si="29"/>
        <v>6779.7942700033054</v>
      </c>
    </row>
    <row r="115" spans="1:10" x14ac:dyDescent="0.3">
      <c r="A115" s="29">
        <v>3</v>
      </c>
      <c r="B115" s="31">
        <f t="shared" si="21"/>
        <v>64840233.647500962</v>
      </c>
      <c r="C115" s="31">
        <f t="shared" si="22"/>
        <v>71042712.342377126</v>
      </c>
      <c r="D115" s="31">
        <f t="shared" si="23"/>
        <v>65772771.028932326</v>
      </c>
      <c r="E115" s="31">
        <f t="shared" si="24"/>
        <v>77823392.192541286</v>
      </c>
      <c r="F115" s="31">
        <f t="shared" si="25"/>
        <v>96286585.240903437</v>
      </c>
      <c r="G115" s="31">
        <f t="shared" si="26"/>
        <v>6202478.6948761642</v>
      </c>
      <c r="H115" s="31">
        <f t="shared" si="27"/>
        <v>31446351.593402475</v>
      </c>
      <c r="I115" s="18">
        <f t="shared" si="28"/>
        <v>12719.170682870179</v>
      </c>
      <c r="J115" s="18">
        <f t="shared" si="29"/>
        <v>7705.0729857633996</v>
      </c>
    </row>
    <row r="116" spans="1:10" x14ac:dyDescent="0.3">
      <c r="A116" s="29">
        <v>4</v>
      </c>
      <c r="B116" s="31">
        <f t="shared" si="21"/>
        <v>64840233.647500962</v>
      </c>
      <c r="C116" s="31">
        <f t="shared" si="22"/>
        <v>72403674.050615385</v>
      </c>
      <c r="D116" s="31">
        <f t="shared" si="23"/>
        <v>67032776.733440027</v>
      </c>
      <c r="E116" s="31">
        <f t="shared" si="24"/>
        <v>79314251.047546983</v>
      </c>
      <c r="F116" s="31">
        <f t="shared" si="25"/>
        <v>105394148.28660095</v>
      </c>
      <c r="G116" s="31">
        <f t="shared" si="26"/>
        <v>7563440.4031144232</v>
      </c>
      <c r="H116" s="31">
        <f t="shared" si="27"/>
        <v>40553914.639099985</v>
      </c>
      <c r="I116" s="18">
        <f t="shared" si="28"/>
        <v>11667.613695566277</v>
      </c>
      <c r="J116" s="18">
        <f t="shared" si="29"/>
        <v>8756.6299730673018</v>
      </c>
    </row>
    <row r="117" spans="1:10" x14ac:dyDescent="0.3">
      <c r="A117" s="29">
        <v>5</v>
      </c>
      <c r="B117" s="31">
        <f t="shared" si="21"/>
        <v>64840233.647500962</v>
      </c>
      <c r="C117" s="31">
        <f t="shared" si="22"/>
        <v>73790707.634633943</v>
      </c>
      <c r="D117" s="31">
        <f t="shared" si="23"/>
        <v>68316920.304583982</v>
      </c>
      <c r="E117" s="31">
        <f t="shared" si="24"/>
        <v>80833670.211515382</v>
      </c>
      <c r="F117" s="31">
        <f t="shared" si="25"/>
        <v>113822121.92168702</v>
      </c>
      <c r="G117" s="31">
        <f t="shared" si="26"/>
        <v>8950473.9871329814</v>
      </c>
      <c r="H117" s="31">
        <f t="shared" si="27"/>
        <v>48981888.27418606</v>
      </c>
      <c r="I117" s="18">
        <f t="shared" si="28"/>
        <v>10472.544492402667</v>
      </c>
      <c r="J117" s="18">
        <f t="shared" si="29"/>
        <v>9951.6991762309117</v>
      </c>
    </row>
    <row r="118" spans="1:10" x14ac:dyDescent="0.3">
      <c r="A118" s="29">
        <v>6</v>
      </c>
      <c r="B118" s="31">
        <f t="shared" si="21"/>
        <v>64840233.647500962</v>
      </c>
      <c r="C118" s="31">
        <f t="shared" si="22"/>
        <v>75204312.552061006</v>
      </c>
      <c r="D118" s="31">
        <f t="shared" si="23"/>
        <v>69625664.15027535</v>
      </c>
      <c r="E118" s="31">
        <f t="shared" si="24"/>
        <v>82382196.812865421</v>
      </c>
      <c r="F118" s="31">
        <f t="shared" si="25"/>
        <v>122312747.59398311</v>
      </c>
      <c r="G118" s="31">
        <f t="shared" si="26"/>
        <v>10364078.904560044</v>
      </c>
      <c r="H118" s="31">
        <f t="shared" si="27"/>
        <v>57472513.946482152</v>
      </c>
      <c r="I118" s="18">
        <f t="shared" si="28"/>
        <v>9114.3771105170163</v>
      </c>
      <c r="J118" s="18">
        <f t="shared" si="29"/>
        <v>11309.866558116562</v>
      </c>
    </row>
    <row r="119" spans="1:10" x14ac:dyDescent="0.3">
      <c r="A119" s="29">
        <v>7</v>
      </c>
      <c r="B119" s="31">
        <f t="shared" si="21"/>
        <v>64840233.647500962</v>
      </c>
      <c r="C119" s="31">
        <f t="shared" si="22"/>
        <v>76644997.828609526</v>
      </c>
      <c r="D119" s="31">
        <f t="shared" si="23"/>
        <v>70959479.536750257</v>
      </c>
      <c r="E119" s="31">
        <f t="shared" si="24"/>
        <v>83960388.461327836</v>
      </c>
      <c r="F119" s="31">
        <f t="shared" si="25"/>
        <v>130519890.09412126</v>
      </c>
      <c r="G119" s="31">
        <f t="shared" si="26"/>
        <v>11804764.181108564</v>
      </c>
      <c r="H119" s="31">
        <f t="shared" si="27"/>
        <v>65679656.4466203</v>
      </c>
      <c r="I119" s="18">
        <f t="shared" si="28"/>
        <v>7570.8525745863672</v>
      </c>
      <c r="J119" s="18">
        <f t="shared" si="29"/>
        <v>12853.391094047211</v>
      </c>
    </row>
    <row r="120" spans="1:10" x14ac:dyDescent="0.3">
      <c r="A120" s="29">
        <v>8</v>
      </c>
      <c r="B120" s="31">
        <f t="shared" si="21"/>
        <v>64840233.647500962</v>
      </c>
      <c r="C120" s="31">
        <f t="shared" si="22"/>
        <v>78113282.241372779</v>
      </c>
      <c r="D120" s="31">
        <f t="shared" si="23"/>
        <v>72318846.75826934</v>
      </c>
      <c r="E120" s="31">
        <f t="shared" si="24"/>
        <v>85568813.448735222</v>
      </c>
      <c r="F120" s="31">
        <f t="shared" si="25"/>
        <v>138198272.9143087</v>
      </c>
      <c r="G120" s="31">
        <f t="shared" si="26"/>
        <v>13273048.593871817</v>
      </c>
      <c r="H120" s="31">
        <f t="shared" si="27"/>
        <v>73358039.266807735</v>
      </c>
      <c r="I120" s="18">
        <f t="shared" si="28"/>
        <v>5816.6740949705782</v>
      </c>
      <c r="J120" s="18">
        <f t="shared" si="29"/>
        <v>14607.569573663</v>
      </c>
    </row>
    <row r="121" spans="1:10" x14ac:dyDescent="0.3">
      <c r="A121" s="29">
        <v>9</v>
      </c>
      <c r="B121" s="31">
        <f t="shared" si="21"/>
        <v>64840233.647500962</v>
      </c>
      <c r="C121" s="31">
        <f t="shared" si="22"/>
        <v>79609694.505631298</v>
      </c>
      <c r="D121" s="31">
        <f t="shared" si="23"/>
        <v>73704255.310065895</v>
      </c>
      <c r="E121" s="31">
        <f t="shared" si="24"/>
        <v>87208050.953658611</v>
      </c>
      <c r="F121" s="31">
        <f t="shared" si="25"/>
        <v>146242152.17268711</v>
      </c>
      <c r="G121" s="31">
        <f t="shared" si="26"/>
        <v>14769460.858130336</v>
      </c>
      <c r="H121" s="31">
        <f t="shared" si="27"/>
        <v>81401918.525186151</v>
      </c>
      <c r="I121" s="18">
        <f t="shared" si="28"/>
        <v>3823.0924791838024</v>
      </c>
      <c r="J121" s="18">
        <f t="shared" si="29"/>
        <v>16601.151189449774</v>
      </c>
    </row>
    <row r="122" spans="1:10" x14ac:dyDescent="0.3">
      <c r="A122" s="29">
        <v>10</v>
      </c>
      <c r="B122" s="31">
        <f t="shared" si="21"/>
        <v>64840233.647500962</v>
      </c>
      <c r="C122" s="31">
        <f t="shared" si="22"/>
        <v>81134773.465237319</v>
      </c>
      <c r="D122" s="31">
        <f t="shared" si="23"/>
        <v>75116204.064609438</v>
      </c>
      <c r="E122" s="31">
        <f t="shared" si="24"/>
        <v>88878691.249964222</v>
      </c>
      <c r="F122" s="31">
        <f t="shared" si="25"/>
        <v>155507206.04426432</v>
      </c>
      <c r="G122" s="31">
        <f t="shared" si="26"/>
        <v>16294539.817736357</v>
      </c>
      <c r="H122" s="31">
        <f t="shared" si="27"/>
        <v>90666972.396763355</v>
      </c>
      <c r="I122" s="18">
        <f t="shared" si="28"/>
        <v>1557.4349620117139</v>
      </c>
      <c r="J122" s="18">
        <f t="shared" si="29"/>
        <v>18866.808706621865</v>
      </c>
    </row>
    <row r="125" spans="1:10" ht="15.6" x14ac:dyDescent="0.3">
      <c r="A125" s="12" t="s">
        <v>124</v>
      </c>
    </row>
    <row r="126" spans="1:10" x14ac:dyDescent="0.3">
      <c r="A126" s="2" t="s">
        <v>125</v>
      </c>
      <c r="B126" s="2" t="s">
        <v>126</v>
      </c>
      <c r="C126" s="2" t="s">
        <v>127</v>
      </c>
      <c r="D126" s="2" t="s">
        <v>128</v>
      </c>
      <c r="E126" s="2" t="s">
        <v>129</v>
      </c>
    </row>
    <row r="127" spans="1:10" x14ac:dyDescent="0.3">
      <c r="A127" s="15" t="s">
        <v>130</v>
      </c>
      <c r="B127" s="31">
        <v>778270534.54187298</v>
      </c>
      <c r="C127" s="31">
        <v>529161877.88510197</v>
      </c>
      <c r="D127" s="31">
        <v>752131074.80951095</v>
      </c>
      <c r="E127" s="31">
        <v>1115947414.9110799</v>
      </c>
    </row>
    <row r="128" spans="1:10" ht="27.6" x14ac:dyDescent="0.3">
      <c r="A128" s="15" t="s">
        <v>108</v>
      </c>
      <c r="B128" s="31">
        <v>129868198.066863</v>
      </c>
      <c r="C128" s="31">
        <v>-119240458.589908</v>
      </c>
      <c r="D128" s="31">
        <v>103728738.334501</v>
      </c>
      <c r="E128" s="31">
        <v>467545078.43607098</v>
      </c>
    </row>
    <row r="129" spans="1:12" ht="27.6" x14ac:dyDescent="0.3">
      <c r="A129" s="15" t="s">
        <v>131</v>
      </c>
      <c r="B129" s="31">
        <v>45127940.165906496</v>
      </c>
      <c r="C129" s="31">
        <v>-42309213.325088099</v>
      </c>
      <c r="D129" s="31">
        <v>37506525.109839901</v>
      </c>
      <c r="E129" s="31">
        <v>159215513.16997001</v>
      </c>
    </row>
    <row r="130" spans="1:12" ht="27.6" x14ac:dyDescent="0.3">
      <c r="A130" s="15" t="s">
        <v>132</v>
      </c>
      <c r="B130" s="31">
        <v>84740257.900956199</v>
      </c>
      <c r="C130" s="31">
        <v>-79608410.181717798</v>
      </c>
      <c r="D130" s="31">
        <v>65984067.139714003</v>
      </c>
      <c r="E130" s="31">
        <v>310175457.10031003</v>
      </c>
    </row>
    <row r="131" spans="1:12" x14ac:dyDescent="0.3">
      <c r="A131" s="15" t="s">
        <v>133</v>
      </c>
      <c r="B131" s="19">
        <v>0.173870992620036</v>
      </c>
      <c r="C131" s="19">
        <v>9.0894799488734399E-2</v>
      </c>
      <c r="D131" s="19">
        <v>0.172002513488905</v>
      </c>
      <c r="E131" s="19">
        <v>0.26265012834441998</v>
      </c>
    </row>
    <row r="132" spans="1:12" ht="27.6" x14ac:dyDescent="0.3">
      <c r="A132" s="15" t="s">
        <v>134</v>
      </c>
      <c r="B132" s="31">
        <v>26242542.723885302</v>
      </c>
      <c r="C132" s="31">
        <v>17305115.542803001</v>
      </c>
      <c r="D132" s="31">
        <v>24075995.966319799</v>
      </c>
      <c r="E132" s="31">
        <v>42304973.262891203</v>
      </c>
    </row>
    <row r="133" spans="1:12" ht="27.6" x14ac:dyDescent="0.3">
      <c r="A133" s="15" t="s">
        <v>135</v>
      </c>
      <c r="B133" s="19">
        <v>0.74790000000000001</v>
      </c>
    </row>
    <row r="134" spans="1:12" ht="41.4" x14ac:dyDescent="0.3">
      <c r="A134" s="15" t="s">
        <v>136</v>
      </c>
      <c r="B134" s="19">
        <v>0.29949999999999999</v>
      </c>
    </row>
    <row r="137" spans="1:12" ht="15.6" x14ac:dyDescent="0.3">
      <c r="A137" s="12"/>
    </row>
    <row r="138" spans="1:12" ht="78" customHeight="1" x14ac:dyDescent="0.3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</row>
    <row r="139" spans="1:12" ht="78" customHeight="1" x14ac:dyDescent="0.3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</row>
    <row r="140" spans="1:12" ht="78" customHeight="1" x14ac:dyDescent="0.3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</row>
    <row r="141" spans="1:12" ht="78" customHeight="1" x14ac:dyDescent="0.3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</row>
  </sheetData>
  <mergeCells count="5">
    <mergeCell ref="A2:L2"/>
    <mergeCell ref="A138:L138"/>
    <mergeCell ref="A139:L139"/>
    <mergeCell ref="A140:L140"/>
    <mergeCell ref="A141:L14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zoomScaleNormal="100" workbookViewId="0">
      <selection activeCell="A29" sqref="A29"/>
    </sheetView>
  </sheetViews>
  <sheetFormatPr baseColWidth="10" defaultColWidth="8.6640625" defaultRowHeight="14.4" x14ac:dyDescent="0.3"/>
  <cols>
    <col min="1" max="1" width="40" customWidth="1"/>
    <col min="2" max="2" width="14" customWidth="1"/>
    <col min="3" max="6" width="16" customWidth="1"/>
    <col min="7" max="7" width="14" customWidth="1"/>
    <col min="8" max="9" width="18" customWidth="1"/>
    <col min="10" max="10" width="14" customWidth="1"/>
    <col min="11" max="11" width="18" customWidth="1"/>
  </cols>
  <sheetData>
    <row r="1" spans="1:6" ht="17.399999999999999" x14ac:dyDescent="0.3">
      <c r="A1" s="13" t="s">
        <v>137</v>
      </c>
    </row>
    <row r="2" spans="1:6" ht="15" customHeight="1" x14ac:dyDescent="0.3">
      <c r="A2" s="69" t="s">
        <v>138</v>
      </c>
      <c r="B2" s="69"/>
      <c r="C2" s="69"/>
      <c r="D2" s="69"/>
      <c r="E2" s="69"/>
      <c r="F2" s="69"/>
    </row>
    <row r="3" spans="1:6" ht="24" customHeight="1" x14ac:dyDescent="0.3">
      <c r="A3" s="2" t="s">
        <v>139</v>
      </c>
      <c r="B3" s="2" t="s">
        <v>2</v>
      </c>
      <c r="C3" s="71" t="s">
        <v>65</v>
      </c>
      <c r="D3" s="71"/>
      <c r="E3" s="71"/>
      <c r="F3" s="71"/>
    </row>
    <row r="4" spans="1:6" ht="30" customHeight="1" x14ac:dyDescent="0.3">
      <c r="A4" s="15" t="s">
        <v>140</v>
      </c>
      <c r="B4" s="77">
        <v>0.75</v>
      </c>
      <c r="C4" s="80"/>
      <c r="D4" s="80"/>
      <c r="E4" s="80"/>
      <c r="F4" s="80"/>
    </row>
    <row r="5" spans="1:6" ht="30" customHeight="1" x14ac:dyDescent="0.3">
      <c r="A5" s="15" t="s">
        <v>141</v>
      </c>
      <c r="B5" s="78">
        <v>24</v>
      </c>
      <c r="C5" s="80"/>
      <c r="D5" s="80"/>
      <c r="E5" s="80"/>
      <c r="F5" s="80"/>
    </row>
    <row r="6" spans="1:6" ht="30" customHeight="1" x14ac:dyDescent="0.3">
      <c r="A6" s="15" t="s">
        <v>80</v>
      </c>
      <c r="B6" s="75">
        <f>Supuestos!B18</f>
        <v>5106.0609171583947</v>
      </c>
      <c r="C6" s="70" t="s">
        <v>66</v>
      </c>
      <c r="D6" s="70"/>
      <c r="E6" s="70"/>
      <c r="F6" s="70"/>
    </row>
    <row r="7" spans="1:6" ht="30" customHeight="1" x14ac:dyDescent="0.3">
      <c r="A7" s="15" t="s">
        <v>142</v>
      </c>
      <c r="B7" s="74">
        <f>Supuestos!B12-B5</f>
        <v>16</v>
      </c>
      <c r="C7" s="70" t="s">
        <v>143</v>
      </c>
      <c r="D7" s="70"/>
      <c r="E7" s="70"/>
      <c r="F7" s="70"/>
    </row>
    <row r="8" spans="1:6" ht="30" customHeight="1" x14ac:dyDescent="0.3">
      <c r="A8" s="15" t="s">
        <v>144</v>
      </c>
      <c r="B8" s="75">
        <f>B6*B7</f>
        <v>81696.974674534315</v>
      </c>
      <c r="C8" s="70" t="s">
        <v>145</v>
      </c>
      <c r="D8" s="70"/>
      <c r="E8" s="70"/>
      <c r="F8" s="70"/>
    </row>
    <row r="9" spans="1:6" ht="30" customHeight="1" x14ac:dyDescent="0.3">
      <c r="A9" s="15" t="s">
        <v>146</v>
      </c>
      <c r="B9" s="75">
        <f>B4*B8</f>
        <v>61272.731005900736</v>
      </c>
      <c r="C9" s="70" t="s">
        <v>147</v>
      </c>
      <c r="D9" s="70"/>
      <c r="E9" s="70"/>
      <c r="F9" s="70"/>
    </row>
    <row r="10" spans="1:6" ht="30" customHeight="1" x14ac:dyDescent="0.3">
      <c r="A10" s="15" t="s">
        <v>148</v>
      </c>
      <c r="B10" s="79">
        <f>'B.1 Forward'!B35</f>
        <v>0.1294982583403308</v>
      </c>
      <c r="C10" s="70" t="s">
        <v>448</v>
      </c>
      <c r="D10" s="70"/>
      <c r="E10" s="70"/>
      <c r="F10" s="70"/>
    </row>
    <row r="11" spans="1:6" ht="30" customHeight="1" x14ac:dyDescent="0.3">
      <c r="A11" s="15" t="s">
        <v>149</v>
      </c>
      <c r="B11" s="79">
        <f>'B.1 Forward'!B25</f>
        <v>4.4699999999999997E-2</v>
      </c>
      <c r="C11" s="70" t="s">
        <v>150</v>
      </c>
      <c r="D11" s="70"/>
      <c r="E11" s="70"/>
      <c r="F11" s="70"/>
    </row>
    <row r="12" spans="1:6" ht="30" customHeight="1" x14ac:dyDescent="0.3">
      <c r="A12" s="15" t="s">
        <v>151</v>
      </c>
      <c r="B12" s="76">
        <f>(1+B10)/(1+B11)-1</f>
        <v>8.1169961080052477E-2</v>
      </c>
      <c r="C12" s="70" t="s">
        <v>152</v>
      </c>
      <c r="D12" s="70"/>
      <c r="E12" s="70"/>
      <c r="F12" s="70"/>
    </row>
    <row r="13" spans="1:6" ht="30" customHeight="1" x14ac:dyDescent="0.3">
      <c r="A13" s="15" t="s">
        <v>153</v>
      </c>
      <c r="B13" s="79">
        <v>0.13</v>
      </c>
      <c r="C13" s="70" t="s">
        <v>154</v>
      </c>
      <c r="D13" s="70"/>
      <c r="E13" s="70"/>
      <c r="F13" s="70"/>
    </row>
    <row r="14" spans="1:6" ht="30" customHeight="1" x14ac:dyDescent="0.3">
      <c r="A14" s="15" t="s">
        <v>155</v>
      </c>
      <c r="B14" s="76">
        <f>(1+B13)^(1/4)-1</f>
        <v>3.1025984771220427E-2</v>
      </c>
      <c r="C14" s="70" t="s">
        <v>7</v>
      </c>
      <c r="D14" s="70"/>
      <c r="E14" s="70"/>
      <c r="F14" s="70"/>
    </row>
    <row r="15" spans="1:6" ht="30" customHeight="1" x14ac:dyDescent="0.3">
      <c r="A15" s="15" t="s">
        <v>156</v>
      </c>
      <c r="B15" s="77">
        <v>0.1</v>
      </c>
      <c r="C15" s="70" t="s">
        <v>157</v>
      </c>
      <c r="D15" s="70"/>
      <c r="E15" s="70"/>
      <c r="F15" s="70"/>
    </row>
    <row r="16" spans="1:6" ht="30" customHeight="1" x14ac:dyDescent="0.3">
      <c r="A16" s="15" t="s">
        <v>158</v>
      </c>
      <c r="B16" s="77">
        <v>0.2</v>
      </c>
      <c r="C16" s="70" t="s">
        <v>159</v>
      </c>
      <c r="D16" s="70"/>
      <c r="E16" s="70"/>
      <c r="F16" s="70"/>
    </row>
    <row r="18" spans="1:11" ht="15.6" x14ac:dyDescent="0.3">
      <c r="A18" s="12" t="s">
        <v>160</v>
      </c>
    </row>
    <row r="19" spans="1:11" ht="48" customHeight="1" x14ac:dyDescent="0.3">
      <c r="A19" s="2" t="s">
        <v>161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169</v>
      </c>
      <c r="J19" s="2" t="s">
        <v>170</v>
      </c>
      <c r="K19" s="2" t="s">
        <v>171</v>
      </c>
    </row>
    <row r="20" spans="1:11" x14ac:dyDescent="0.3">
      <c r="A20" s="39">
        <v>1</v>
      </c>
      <c r="B20" s="39">
        <v>7</v>
      </c>
      <c r="C20" s="39">
        <f>$B$5+4*(A20-1)</f>
        <v>24</v>
      </c>
      <c r="D20" s="39">
        <f>C20+4</f>
        <v>28</v>
      </c>
      <c r="E20" s="18">
        <f>SUMIF(Amortización!$B$5:$B$44,B20,Amortización!$D$5:$D$44)</f>
        <v>20424.243668633579</v>
      </c>
      <c r="F20" s="18">
        <f>$B$4*E20</f>
        <v>15318.182751475184</v>
      </c>
      <c r="G20" s="39" t="str">
        <f>IF(F20&lt;=E20+0.005,"Sí","No")</f>
        <v>Sí</v>
      </c>
      <c r="H20" s="18">
        <f>SUMIF(Amortización!$A$5:$A$44,"&gt;"&amp;C20,Amortización!$D$5:$D$44)</f>
        <v>81696.9746745343</v>
      </c>
      <c r="I20" s="18">
        <f>SUM(F20:$F$23)</f>
        <v>61272.731005900736</v>
      </c>
      <c r="J20" s="39" t="str">
        <f>IF(I20&lt;=H20+0.005,"Sí","No")</f>
        <v>Sí</v>
      </c>
      <c r="K20" s="18">
        <f>INDEX(Amortización!$G$5:$G$44,C20)</f>
        <v>62928.920563781721</v>
      </c>
    </row>
    <row r="21" spans="1:11" x14ac:dyDescent="0.3">
      <c r="A21" s="39">
        <v>2</v>
      </c>
      <c r="B21" s="39">
        <v>8</v>
      </c>
      <c r="C21" s="39">
        <f>$B$5+4*(A21-1)</f>
        <v>28</v>
      </c>
      <c r="D21" s="39">
        <f>C21+4</f>
        <v>32</v>
      </c>
      <c r="E21" s="18">
        <f>SUMIF(Amortización!$B$5:$B$44,B21,Amortización!$D$5:$D$44)</f>
        <v>20424.243668633579</v>
      </c>
      <c r="F21" s="18">
        <f>$B$4*E21</f>
        <v>15318.182751475184</v>
      </c>
      <c r="G21" s="39" t="str">
        <f>IF(F21&lt;=E21+0.005,"Sí","No")</f>
        <v>Sí</v>
      </c>
      <c r="H21" s="18">
        <f>SUMIF(Amortización!$A$5:$A$44,"&gt;"&amp;C21,Amortización!$D$5:$D$44)</f>
        <v>61272.731005900721</v>
      </c>
      <c r="I21" s="18">
        <f>SUM(F21:$F$23)</f>
        <v>45954.54825442555</v>
      </c>
      <c r="J21" s="39" t="str">
        <f>IF(I21&lt;=H21+0.005,"Sí","No")</f>
        <v>Sí</v>
      </c>
      <c r="K21" s="18">
        <f>INDEX(Amortización!$G$5:$G$44,C21)</f>
        <v>50075.529469734509</v>
      </c>
    </row>
    <row r="22" spans="1:11" x14ac:dyDescent="0.3">
      <c r="A22" s="39">
        <v>3</v>
      </c>
      <c r="B22" s="39">
        <v>9</v>
      </c>
      <c r="C22" s="39">
        <f>$B$5+4*(A22-1)</f>
        <v>32</v>
      </c>
      <c r="D22" s="39">
        <f>C22+4</f>
        <v>36</v>
      </c>
      <c r="E22" s="18">
        <f>SUMIF(Amortización!$B$5:$B$44,B22,Amortización!$D$5:$D$44)</f>
        <v>20424.243668633579</v>
      </c>
      <c r="F22" s="18">
        <f>$B$4*E22</f>
        <v>15318.182751475184</v>
      </c>
      <c r="G22" s="39" t="str">
        <f>IF(F22&lt;=E22+0.005,"Sí","No")</f>
        <v>Sí</v>
      </c>
      <c r="H22" s="18">
        <f>SUMIF(Amortización!$A$5:$A$44,"&gt;"&amp;C22,Amortización!$D$5:$D$44)</f>
        <v>40848.48733726715</v>
      </c>
      <c r="I22" s="18">
        <f>SUM(F22:$F$23)</f>
        <v>30636.365502950368</v>
      </c>
      <c r="J22" s="39" t="str">
        <f>IF(I22&lt;=H22+0.005,"Sí","No")</f>
        <v>Sí</v>
      </c>
      <c r="K22" s="18">
        <f>INDEX(Amortización!$G$5:$G$44,C22)</f>
        <v>35467.959896071508</v>
      </c>
    </row>
    <row r="23" spans="1:11" x14ac:dyDescent="0.3">
      <c r="A23" s="39">
        <v>4</v>
      </c>
      <c r="B23" s="39">
        <v>10</v>
      </c>
      <c r="C23" s="39">
        <f>$B$5+4*(A23-1)</f>
        <v>36</v>
      </c>
      <c r="D23" s="39">
        <f>C23+4</f>
        <v>40</v>
      </c>
      <c r="E23" s="18">
        <f>SUMIF(Amortización!$B$5:$B$44,B23,Amortización!$D$5:$D$44)</f>
        <v>20424.243668633579</v>
      </c>
      <c r="F23" s="18">
        <f>$B$4*E23</f>
        <v>15318.182751475184</v>
      </c>
      <c r="G23" s="39" t="str">
        <f>IF(F23&lt;=E23+0.005,"Sí","No")</f>
        <v>Sí</v>
      </c>
      <c r="H23" s="18">
        <f>SUMIF(Amortización!$A$5:$A$44,"&gt;"&amp;C23,Amortización!$D$5:$D$44)</f>
        <v>20424.243668633579</v>
      </c>
      <c r="I23" s="18">
        <f>SUM(F23:$F$23)</f>
        <v>15318.182751475184</v>
      </c>
      <c r="J23" s="39" t="str">
        <f>IF(I23&lt;=H23+0.005,"Sí","No")</f>
        <v>Sí</v>
      </c>
      <c r="K23" s="18">
        <f>INDEX(Amortización!$G$5:$G$44,C23)</f>
        <v>18866.808706621734</v>
      </c>
    </row>
    <row r="24" spans="1:11" x14ac:dyDescent="0.3">
      <c r="A24" s="32" t="s">
        <v>76</v>
      </c>
      <c r="B24" s="33"/>
      <c r="C24" s="33"/>
      <c r="D24" s="33"/>
      <c r="E24" s="34">
        <f>SUM(E20:E23)</f>
        <v>81696.974674534315</v>
      </c>
      <c r="F24" s="34">
        <f>SUM(F20:F23)</f>
        <v>61272.731005900736</v>
      </c>
      <c r="G24" s="33"/>
      <c r="H24" s="33"/>
      <c r="I24" s="33"/>
      <c r="J24" s="33"/>
      <c r="K24" s="33"/>
    </row>
    <row r="25" spans="1:11" x14ac:dyDescent="0.3">
      <c r="A25" s="14" t="s">
        <v>172</v>
      </c>
      <c r="F25" s="14" t="str">
        <f>IF(ABS(F24-B9)&lt;0.01,"Correcto","Revisar")</f>
        <v>Correcto</v>
      </c>
    </row>
    <row r="27" spans="1:11" ht="48" customHeight="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</row>
    <row r="28" spans="1:11" ht="48" customHeight="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</row>
    <row r="29" spans="1:11" ht="48" customHeight="1" x14ac:dyDescent="0.3"/>
  </sheetData>
  <mergeCells count="17">
    <mergeCell ref="A2:F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A27:K27"/>
    <mergeCell ref="A28:K28"/>
    <mergeCell ref="C12:F12"/>
    <mergeCell ref="C13:F13"/>
    <mergeCell ref="C14:F14"/>
    <mergeCell ref="C15:F15"/>
    <mergeCell ref="C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5"/>
  <sheetViews>
    <sheetView topLeftCell="A36" zoomScaleNormal="100" workbookViewId="0">
      <selection activeCell="C35" sqref="C35:H35"/>
    </sheetView>
  </sheetViews>
  <sheetFormatPr baseColWidth="10" defaultColWidth="8.6640625" defaultRowHeight="14.4" x14ac:dyDescent="0.3"/>
  <cols>
    <col min="1" max="1" width="44" customWidth="1"/>
    <col min="2" max="2" width="16" customWidth="1"/>
    <col min="3" max="3" width="44" customWidth="1"/>
    <col min="4" max="5" width="14" customWidth="1"/>
    <col min="6" max="6" width="30" customWidth="1"/>
    <col min="7" max="7" width="13" customWidth="1"/>
    <col min="8" max="8" width="34" customWidth="1"/>
  </cols>
  <sheetData>
    <row r="1" spans="1:8" ht="17.399999999999999" x14ac:dyDescent="0.3">
      <c r="A1" s="13" t="s">
        <v>173</v>
      </c>
    </row>
    <row r="2" spans="1:8" ht="43.5" customHeight="1" x14ac:dyDescent="0.3">
      <c r="A2" s="69" t="s">
        <v>174</v>
      </c>
      <c r="B2" s="69"/>
      <c r="C2" s="69"/>
      <c r="D2" s="69"/>
      <c r="E2" s="69"/>
      <c r="F2" s="69"/>
      <c r="G2" s="69"/>
      <c r="H2" s="69"/>
    </row>
    <row r="4" spans="1:8" ht="31.5" customHeight="1" x14ac:dyDescent="0.3">
      <c r="A4" s="2" t="s">
        <v>29</v>
      </c>
      <c r="B4" s="2" t="s">
        <v>175</v>
      </c>
      <c r="C4" s="2" t="s">
        <v>176</v>
      </c>
      <c r="D4" s="2" t="s">
        <v>177</v>
      </c>
      <c r="E4" s="2" t="s">
        <v>31</v>
      </c>
      <c r="F4" s="2" t="s">
        <v>178</v>
      </c>
    </row>
    <row r="5" spans="1:8" ht="30" customHeight="1" x14ac:dyDescent="0.3">
      <c r="A5" s="20" t="s">
        <v>179</v>
      </c>
      <c r="B5" s="40">
        <v>3132.07</v>
      </c>
      <c r="C5" s="1" t="s">
        <v>180</v>
      </c>
      <c r="D5" s="41">
        <v>46322</v>
      </c>
      <c r="E5" s="41">
        <v>46323</v>
      </c>
      <c r="F5" s="1" t="s">
        <v>181</v>
      </c>
    </row>
    <row r="6" spans="1:8" ht="30" customHeight="1" x14ac:dyDescent="0.3">
      <c r="A6" s="20" t="s">
        <v>182</v>
      </c>
      <c r="B6" s="40">
        <v>3252.9</v>
      </c>
      <c r="C6" s="1" t="s">
        <v>183</v>
      </c>
      <c r="D6" s="41">
        <v>46322</v>
      </c>
      <c r="E6" s="41">
        <v>46323</v>
      </c>
      <c r="F6" s="1" t="s">
        <v>184</v>
      </c>
    </row>
    <row r="7" spans="1:8" ht="30" customHeight="1" x14ac:dyDescent="0.3">
      <c r="A7" s="20" t="s">
        <v>185</v>
      </c>
      <c r="B7" s="40">
        <v>3386.3</v>
      </c>
      <c r="C7" s="1" t="s">
        <v>186</v>
      </c>
      <c r="D7" s="41">
        <v>46322</v>
      </c>
      <c r="E7" s="41">
        <v>46323</v>
      </c>
      <c r="F7" s="1" t="s">
        <v>187</v>
      </c>
    </row>
    <row r="8" spans="1:8" ht="30" customHeight="1" x14ac:dyDescent="0.3">
      <c r="A8" s="20" t="s">
        <v>188</v>
      </c>
      <c r="B8" s="40">
        <v>3654.14</v>
      </c>
      <c r="C8" s="1" t="s">
        <v>189</v>
      </c>
      <c r="D8" s="41">
        <v>46322</v>
      </c>
      <c r="E8" s="41">
        <v>46323</v>
      </c>
      <c r="F8" s="1" t="s">
        <v>190</v>
      </c>
    </row>
    <row r="9" spans="1:8" ht="30" customHeight="1" x14ac:dyDescent="0.3">
      <c r="A9" s="20" t="s">
        <v>191</v>
      </c>
      <c r="B9" s="40">
        <v>3148.02</v>
      </c>
      <c r="C9" s="1" t="s">
        <v>192</v>
      </c>
      <c r="D9" s="41">
        <v>46323</v>
      </c>
      <c r="E9" s="41">
        <v>46323</v>
      </c>
      <c r="F9" s="1" t="s">
        <v>193</v>
      </c>
    </row>
    <row r="10" spans="1:8" ht="30" customHeight="1" x14ac:dyDescent="0.3">
      <c r="A10" s="20" t="s">
        <v>194</v>
      </c>
      <c r="B10" s="40">
        <v>3157.57</v>
      </c>
      <c r="C10" s="1" t="s">
        <v>195</v>
      </c>
      <c r="D10" s="41">
        <v>46321</v>
      </c>
      <c r="E10" s="41">
        <v>46323</v>
      </c>
      <c r="F10" s="1" t="s">
        <v>196</v>
      </c>
    </row>
    <row r="12" spans="1:8" ht="15.6" x14ac:dyDescent="0.3">
      <c r="A12" s="12" t="s">
        <v>197</v>
      </c>
    </row>
    <row r="13" spans="1:8" ht="31.5" customHeight="1" x14ac:dyDescent="0.3">
      <c r="A13" s="2" t="s">
        <v>198</v>
      </c>
      <c r="B13" s="2" t="s">
        <v>199</v>
      </c>
      <c r="C13" s="2" t="s">
        <v>161</v>
      </c>
      <c r="D13" s="2" t="s">
        <v>200</v>
      </c>
      <c r="E13" s="2" t="s">
        <v>201</v>
      </c>
      <c r="F13" s="2" t="s">
        <v>202</v>
      </c>
    </row>
    <row r="14" spans="1:8" x14ac:dyDescent="0.3">
      <c r="A14" s="20" t="s">
        <v>203</v>
      </c>
      <c r="B14" s="42">
        <v>0.5</v>
      </c>
      <c r="C14" s="36">
        <f>B6</f>
        <v>3252.9</v>
      </c>
      <c r="D14" s="36">
        <f>C14-$B$5</f>
        <v>120.82999999999993</v>
      </c>
      <c r="E14" s="19">
        <f>C14/$B$5-1</f>
        <v>3.8578320407909095E-2</v>
      </c>
      <c r="F14" s="19">
        <f>(1+E14)^(1/B14)-1</f>
        <v>7.8644927621313476E-2</v>
      </c>
    </row>
    <row r="15" spans="1:8" x14ac:dyDescent="0.3">
      <c r="A15" s="20" t="s">
        <v>204</v>
      </c>
      <c r="B15" s="42">
        <v>1</v>
      </c>
      <c r="C15" s="36">
        <f>B7</f>
        <v>3386.3</v>
      </c>
      <c r="D15" s="36">
        <f>C15-$B$5</f>
        <v>254.23000000000002</v>
      </c>
      <c r="E15" s="19">
        <f>C15/$B$5-1</f>
        <v>8.1169961080052477E-2</v>
      </c>
      <c r="F15" s="19">
        <f>(1+E15)^(1/B15)-1</f>
        <v>8.1169961080052477E-2</v>
      </c>
    </row>
    <row r="16" spans="1:8" x14ac:dyDescent="0.3">
      <c r="A16" s="20" t="s">
        <v>205</v>
      </c>
      <c r="B16" s="42">
        <v>2</v>
      </c>
      <c r="C16" s="36">
        <f>B8</f>
        <v>3654.14</v>
      </c>
      <c r="D16" s="36">
        <f>C16-$B$5</f>
        <v>522.06999999999971</v>
      </c>
      <c r="E16" s="19">
        <f>C16/$B$5-1</f>
        <v>0.16668529119719544</v>
      </c>
      <c r="F16" s="19">
        <f>(1+E16)^(1/B16)-1</f>
        <v>8.0132071182591691E-2</v>
      </c>
    </row>
    <row r="18" spans="1:8" ht="15.6" x14ac:dyDescent="0.3">
      <c r="A18" s="12" t="s">
        <v>206</v>
      </c>
    </row>
    <row r="19" spans="1:8" ht="31.5" customHeight="1" x14ac:dyDescent="0.3">
      <c r="A19" s="2" t="s">
        <v>207</v>
      </c>
      <c r="B19" s="2" t="s">
        <v>2</v>
      </c>
      <c r="C19" s="2" t="s">
        <v>176</v>
      </c>
      <c r="D19" s="2" t="s">
        <v>177</v>
      </c>
      <c r="E19" s="2" t="s">
        <v>198</v>
      </c>
      <c r="F19" s="2" t="s">
        <v>208</v>
      </c>
    </row>
    <row r="20" spans="1:8" ht="43.5" customHeight="1" x14ac:dyDescent="0.3">
      <c r="A20" s="15" t="s">
        <v>209</v>
      </c>
      <c r="B20" s="43">
        <v>0.1225</v>
      </c>
      <c r="C20" s="1" t="s">
        <v>210</v>
      </c>
      <c r="D20" s="41">
        <v>46323</v>
      </c>
      <c r="E20" s="1" t="s">
        <v>211</v>
      </c>
      <c r="F20" s="1" t="s">
        <v>212</v>
      </c>
    </row>
    <row r="21" spans="1:8" ht="43.5" customHeight="1" x14ac:dyDescent="0.3">
      <c r="A21" s="15" t="s">
        <v>213</v>
      </c>
      <c r="B21" s="43">
        <v>0.125</v>
      </c>
      <c r="C21" s="1" t="s">
        <v>214</v>
      </c>
      <c r="D21" s="41">
        <v>46316</v>
      </c>
      <c r="E21" s="1" t="s">
        <v>215</v>
      </c>
      <c r="F21" s="1" t="s">
        <v>212</v>
      </c>
    </row>
    <row r="22" spans="1:8" ht="43.5" customHeight="1" x14ac:dyDescent="0.3">
      <c r="A22" s="15" t="s">
        <v>216</v>
      </c>
      <c r="B22" s="43">
        <v>0.1348</v>
      </c>
      <c r="C22" s="1" t="s">
        <v>217</v>
      </c>
      <c r="D22" s="41">
        <v>46154</v>
      </c>
      <c r="E22" s="1" t="s">
        <v>204</v>
      </c>
      <c r="F22" s="1" t="s">
        <v>218</v>
      </c>
    </row>
    <row r="23" spans="1:8" ht="43.5" customHeight="1" x14ac:dyDescent="0.3">
      <c r="A23" s="15" t="s">
        <v>219</v>
      </c>
      <c r="B23" s="43">
        <v>0.11559999999999999</v>
      </c>
      <c r="C23" s="1" t="s">
        <v>220</v>
      </c>
      <c r="D23" s="41">
        <v>46322</v>
      </c>
      <c r="E23" s="1" t="s">
        <v>221</v>
      </c>
      <c r="F23" s="1" t="s">
        <v>222</v>
      </c>
    </row>
    <row r="24" spans="1:8" ht="43.5" customHeight="1" x14ac:dyDescent="0.3">
      <c r="A24" s="15" t="s">
        <v>223</v>
      </c>
      <c r="B24" s="43">
        <v>3.8800000000000001E-2</v>
      </c>
      <c r="C24" s="1" t="s">
        <v>224</v>
      </c>
      <c r="D24" s="41">
        <v>46321</v>
      </c>
      <c r="E24" s="1" t="s">
        <v>211</v>
      </c>
      <c r="F24" s="1" t="s">
        <v>225</v>
      </c>
    </row>
    <row r="25" spans="1:8" ht="43.5" customHeight="1" x14ac:dyDescent="0.3">
      <c r="A25" s="15" t="s">
        <v>226</v>
      </c>
      <c r="B25" s="43">
        <v>4.4699999999999997E-2</v>
      </c>
      <c r="C25" s="1" t="s">
        <v>224</v>
      </c>
      <c r="D25" s="41">
        <v>46321</v>
      </c>
      <c r="E25" s="1" t="s">
        <v>204</v>
      </c>
      <c r="F25" s="1" t="s">
        <v>227</v>
      </c>
    </row>
    <row r="27" spans="1:8" ht="15.6" x14ac:dyDescent="0.3">
      <c r="A27" s="12" t="s">
        <v>228</v>
      </c>
    </row>
    <row r="28" spans="1:8" ht="31.5" customHeight="1" x14ac:dyDescent="0.3">
      <c r="A28" s="2" t="s">
        <v>229</v>
      </c>
      <c r="B28" s="2" t="s">
        <v>230</v>
      </c>
      <c r="C28" s="2" t="s">
        <v>231</v>
      </c>
      <c r="D28" s="2" t="s">
        <v>232</v>
      </c>
      <c r="E28" s="2" t="s">
        <v>233</v>
      </c>
      <c r="F28" s="2" t="s">
        <v>234</v>
      </c>
      <c r="G28" s="2" t="s">
        <v>235</v>
      </c>
      <c r="H28" s="2" t="s">
        <v>236</v>
      </c>
    </row>
    <row r="29" spans="1:8" ht="31.5" customHeight="1" x14ac:dyDescent="0.3">
      <c r="A29" s="44" t="s">
        <v>237</v>
      </c>
      <c r="B29" s="45">
        <f>B20</f>
        <v>0.1225</v>
      </c>
      <c r="C29" s="45">
        <f>B25</f>
        <v>4.4699999999999997E-2</v>
      </c>
      <c r="D29" s="46">
        <f>$B$5*(1+B29)/(1+C29)</f>
        <v>3365.3188235857192</v>
      </c>
      <c r="E29" s="46">
        <f>$B$7</f>
        <v>3386.3</v>
      </c>
      <c r="F29" s="46">
        <f>E29-D29</f>
        <v>20.981176414280981</v>
      </c>
      <c r="G29" s="45">
        <f>E29/D29-1</f>
        <v>6.2345285882678958E-3</v>
      </c>
      <c r="H29" s="16" t="s">
        <v>238</v>
      </c>
    </row>
    <row r="30" spans="1:8" ht="31.5" customHeight="1" x14ac:dyDescent="0.3">
      <c r="A30" s="1" t="s">
        <v>239</v>
      </c>
      <c r="B30" s="19">
        <f>B21</f>
        <v>0.125</v>
      </c>
      <c r="C30" s="19">
        <f>B25</f>
        <v>4.4699999999999997E-2</v>
      </c>
      <c r="D30" s="36">
        <f>$B$5*(1+B30)/(1+C30)</f>
        <v>3372.8139657317893</v>
      </c>
      <c r="E30" s="36">
        <f>$B$7</f>
        <v>3386.3</v>
      </c>
      <c r="F30" s="36">
        <f>E30-D30</f>
        <v>13.486034268210915</v>
      </c>
      <c r="G30" s="19">
        <f>E30/D30-1</f>
        <v>3.9984518580717943E-3</v>
      </c>
      <c r="H30" s="1" t="s">
        <v>240</v>
      </c>
    </row>
    <row r="31" spans="1:8" ht="31.5" customHeight="1" x14ac:dyDescent="0.3">
      <c r="A31" s="1" t="s">
        <v>241</v>
      </c>
      <c r="B31" s="19">
        <f>B22</f>
        <v>0.1348</v>
      </c>
      <c r="C31" s="19">
        <f>B25</f>
        <v>4.4699999999999997E-2</v>
      </c>
      <c r="D31" s="36">
        <f>$B$5*(1+B31)/(1+C31)</f>
        <v>3402.1949229443867</v>
      </c>
      <c r="E31" s="36">
        <f>$B$7</f>
        <v>3386.3</v>
      </c>
      <c r="F31" s="36">
        <f>E31-D31</f>
        <v>-15.894922944386508</v>
      </c>
      <c r="G31" s="19">
        <f>E31/D31-1</f>
        <v>-4.6719612792291976E-3</v>
      </c>
      <c r="H31" s="1" t="s">
        <v>242</v>
      </c>
    </row>
    <row r="32" spans="1:8" ht="31.5" customHeight="1" x14ac:dyDescent="0.3">
      <c r="A32" s="1" t="s">
        <v>243</v>
      </c>
      <c r="B32" s="19">
        <f>B20</f>
        <v>0.1225</v>
      </c>
      <c r="C32" s="19">
        <f>B24</f>
        <v>3.8800000000000001E-2</v>
      </c>
      <c r="D32" s="36">
        <f>$B$5*(1+B32)/(1+C32)</f>
        <v>3384.4325904890266</v>
      </c>
      <c r="E32" s="36">
        <f>$B$7</f>
        <v>3386.3</v>
      </c>
      <c r="F32" s="36">
        <f>E32-D32</f>
        <v>1.8674095109736299</v>
      </c>
      <c r="G32" s="19">
        <f>E32/D32-1</f>
        <v>5.5176442757987054E-4</v>
      </c>
      <c r="H32" s="1" t="s">
        <v>244</v>
      </c>
    </row>
    <row r="33" spans="1:8" ht="31.5" customHeight="1" x14ac:dyDescent="0.3">
      <c r="A33" s="1" t="s">
        <v>245</v>
      </c>
      <c r="B33" s="19">
        <f>B20</f>
        <v>0.1225</v>
      </c>
      <c r="C33" s="19">
        <f>(1+B25/2)^2-1</f>
        <v>4.5199522500000144E-2</v>
      </c>
      <c r="D33" s="36">
        <f>$B$5*(1+B33)/(1+C33)</f>
        <v>3363.7104680173638</v>
      </c>
      <c r="E33" s="36">
        <f>$B$7</f>
        <v>3386.3</v>
      </c>
      <c r="F33" s="36">
        <f>E33-D33</f>
        <v>22.589531982636345</v>
      </c>
      <c r="G33" s="19">
        <f>E33/D33-1</f>
        <v>6.7156588527523819E-3</v>
      </c>
      <c r="H33" s="1" t="s">
        <v>246</v>
      </c>
    </row>
    <row r="35" spans="1:8" ht="31.5" customHeight="1" x14ac:dyDescent="0.3">
      <c r="A35" s="15" t="s">
        <v>247</v>
      </c>
      <c r="B35" s="47">
        <f>$B$7/$B$5*(1+B25)-1</f>
        <v>0.1294982583403308</v>
      </c>
      <c r="C35" s="69"/>
      <c r="D35" s="69"/>
      <c r="E35" s="69"/>
      <c r="F35" s="69"/>
      <c r="G35" s="69"/>
      <c r="H35" s="69"/>
    </row>
    <row r="36" spans="1:8" ht="30" customHeight="1" x14ac:dyDescent="0.3">
      <c r="A36" s="15" t="s">
        <v>248</v>
      </c>
      <c r="B36" s="48">
        <f>(B35-B20)*10000</f>
        <v>69.982583403307984</v>
      </c>
    </row>
    <row r="38" spans="1:8" ht="15.6" x14ac:dyDescent="0.3">
      <c r="A38" s="12"/>
    </row>
    <row r="39" spans="1:8" ht="61.5" customHeight="1" x14ac:dyDescent="0.3">
      <c r="A39" s="69"/>
      <c r="B39" s="69"/>
      <c r="C39" s="69"/>
      <c r="D39" s="69"/>
      <c r="E39" s="69"/>
      <c r="F39" s="69"/>
      <c r="G39" s="69"/>
      <c r="H39" s="69"/>
    </row>
    <row r="40" spans="1:8" ht="61.5" customHeight="1" x14ac:dyDescent="0.3">
      <c r="A40" s="69"/>
      <c r="B40" s="69"/>
      <c r="C40" s="69"/>
      <c r="D40" s="69"/>
      <c r="E40" s="69"/>
      <c r="F40" s="69"/>
      <c r="G40" s="69"/>
      <c r="H40" s="69"/>
    </row>
    <row r="41" spans="1:8" ht="61.5" customHeight="1" x14ac:dyDescent="0.3">
      <c r="A41" s="69"/>
      <c r="B41" s="69"/>
      <c r="C41" s="69"/>
      <c r="D41" s="69"/>
      <c r="E41" s="69"/>
      <c r="F41" s="69"/>
      <c r="G41" s="69"/>
      <c r="H41" s="69"/>
    </row>
    <row r="42" spans="1:8" ht="61.5" customHeight="1" x14ac:dyDescent="0.3">
      <c r="A42" s="69"/>
      <c r="B42" s="69"/>
      <c r="C42" s="69"/>
      <c r="D42" s="69"/>
      <c r="E42" s="69"/>
      <c r="F42" s="69"/>
      <c r="G42" s="69"/>
      <c r="H42" s="69"/>
    </row>
    <row r="43" spans="1:8" ht="61.5" customHeight="1" x14ac:dyDescent="0.3">
      <c r="A43" s="69"/>
      <c r="B43" s="69"/>
      <c r="C43" s="69"/>
      <c r="D43" s="69"/>
      <c r="E43" s="69"/>
      <c r="F43" s="69"/>
      <c r="G43" s="69"/>
      <c r="H43" s="69"/>
    </row>
    <row r="44" spans="1:8" ht="61.5" customHeight="1" x14ac:dyDescent="0.3">
      <c r="A44" s="69"/>
      <c r="B44" s="69"/>
      <c r="C44" s="69"/>
      <c r="D44" s="69"/>
      <c r="E44" s="69"/>
      <c r="F44" s="69"/>
      <c r="G44" s="69"/>
      <c r="H44" s="69"/>
    </row>
    <row r="45" spans="1:8" ht="45.75" customHeight="1" x14ac:dyDescent="0.3">
      <c r="A45" s="69"/>
      <c r="B45" s="69"/>
      <c r="C45" s="69"/>
      <c r="D45" s="69"/>
      <c r="E45" s="69"/>
      <c r="F45" s="69"/>
      <c r="G45" s="69"/>
      <c r="H45" s="69"/>
    </row>
  </sheetData>
  <mergeCells count="9">
    <mergeCell ref="A42:H42"/>
    <mergeCell ref="A43:H43"/>
    <mergeCell ref="A44:H44"/>
    <mergeCell ref="A45:H45"/>
    <mergeCell ref="A2:H2"/>
    <mergeCell ref="C35:H35"/>
    <mergeCell ref="A39:H39"/>
    <mergeCell ref="A40:H40"/>
    <mergeCell ref="A41:H4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6"/>
  <sheetViews>
    <sheetView zoomScaleNormal="100" workbookViewId="0">
      <pane xSplit="1" ySplit="4" topLeftCell="B49" activePane="bottomRight" state="frozen"/>
      <selection pane="topRight" activeCell="B1" sqref="B1"/>
      <selection pane="bottomLeft" activeCell="A5" sqref="A5"/>
      <selection pane="bottomRight" activeCell="A69" sqref="A69"/>
    </sheetView>
  </sheetViews>
  <sheetFormatPr baseColWidth="10" defaultColWidth="8.6640625" defaultRowHeight="14.4" x14ac:dyDescent="0.3"/>
  <cols>
    <col min="1" max="1" width="26" customWidth="1"/>
    <col min="2" max="4" width="17" customWidth="1"/>
    <col min="5" max="7" width="13" customWidth="1"/>
    <col min="8" max="8" width="18" customWidth="1"/>
    <col min="9" max="10" width="19" customWidth="1"/>
    <col min="11" max="11" width="21" customWidth="1"/>
    <col min="12" max="12" width="19" customWidth="1"/>
    <col min="13" max="15" width="13" customWidth="1"/>
  </cols>
  <sheetData>
    <row r="1" spans="1:15" ht="17.399999999999999" x14ac:dyDescent="0.3">
      <c r="A1" s="13" t="s">
        <v>249</v>
      </c>
    </row>
    <row r="2" spans="1:15" ht="31.5" customHeight="1" x14ac:dyDescent="0.3">
      <c r="A2" s="69" t="s">
        <v>250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5" ht="63.75" customHeight="1" x14ac:dyDescent="0.3">
      <c r="A4" s="2" t="s">
        <v>251</v>
      </c>
      <c r="B4" s="2" t="s">
        <v>161</v>
      </c>
      <c r="C4" s="2" t="s">
        <v>70</v>
      </c>
      <c r="D4" s="2" t="s">
        <v>252</v>
      </c>
      <c r="E4" s="2" t="s">
        <v>253</v>
      </c>
      <c r="F4" s="2" t="s">
        <v>254</v>
      </c>
      <c r="G4" s="2" t="s">
        <v>255</v>
      </c>
      <c r="H4" s="2" t="s">
        <v>256</v>
      </c>
      <c r="I4" s="2" t="s">
        <v>257</v>
      </c>
      <c r="J4" s="2" t="s">
        <v>258</v>
      </c>
      <c r="K4" s="2" t="s">
        <v>259</v>
      </c>
      <c r="L4" s="2" t="s">
        <v>260</v>
      </c>
      <c r="M4" s="2" t="s">
        <v>261</v>
      </c>
      <c r="N4" s="2" t="s">
        <v>262</v>
      </c>
      <c r="O4" s="2" t="s">
        <v>263</v>
      </c>
    </row>
    <row r="5" spans="1:15" ht="27.6" x14ac:dyDescent="0.3">
      <c r="A5" s="20" t="s">
        <v>264</v>
      </c>
      <c r="B5" s="39">
        <v>1</v>
      </c>
      <c r="C5" s="39">
        <v>7</v>
      </c>
      <c r="D5" s="36">
        <f>INDEX('Trayectorias B'!$C$5:$I$45,'B Supuestos'!$C$20+1,1)</f>
        <v>3826.65510870554</v>
      </c>
      <c r="E5" s="36">
        <f>D5*(1+'B Supuestos'!$B$12)</f>
        <v>4137.264554945953</v>
      </c>
      <c r="F5" s="36">
        <f>INDEX('Trayectorias B'!$C$5:$I$45,'B Supuestos'!$D$20+1,1)</f>
        <v>3005.8223454896602</v>
      </c>
      <c r="G5" s="36">
        <f t="shared" ref="G5:G32" si="0">F5-E5</f>
        <v>-1131.4422094562929</v>
      </c>
      <c r="H5" s="39" t="str">
        <f t="shared" ref="H5:H32" si="1">IF(G5&gt;0,"Protección","Costo de oportunidad")</f>
        <v>Costo de oportunidad</v>
      </c>
      <c r="I5" s="31">
        <f>'B Supuestos'!$F$20*G5</f>
        <v>-17331638.537184358</v>
      </c>
      <c r="J5" s="31">
        <f>'B Supuestos'!$B$6*SUM(INDEX('Trayectorias B'!$C$5:$I$45,'B Supuestos'!$C$20+2,1):INDEX('Trayectorias B'!$C$5:$I$45,'B Supuestos'!$D$20+1,1))</f>
        <v>72122755.220620424</v>
      </c>
      <c r="K5" s="31">
        <f t="shared" ref="K5:K32" si="2">J5-I5</f>
        <v>89454393.757804781</v>
      </c>
      <c r="L5" s="31">
        <f>4*'B Supuestos'!$B$6*E5</f>
        <v>84500499.391817003</v>
      </c>
      <c r="M5" s="49">
        <f t="shared" ref="M5:M32" si="3">J5/L5-1</f>
        <v>-0.1464813138417409</v>
      </c>
      <c r="N5" s="49">
        <f t="shared" ref="N5:N32" si="4">K5/L5-1</f>
        <v>5.8625622353037921E-2</v>
      </c>
      <c r="O5" s="36">
        <f>K5/(4*'B Supuestos'!$B$6)</f>
        <v>4379.8142643188239</v>
      </c>
    </row>
    <row r="6" spans="1:15" ht="27.6" x14ac:dyDescent="0.3">
      <c r="A6" s="29" t="s">
        <v>264</v>
      </c>
      <c r="B6" s="39">
        <v>2</v>
      </c>
      <c r="C6" s="39">
        <v>8</v>
      </c>
      <c r="D6" s="36">
        <f>INDEX('Trayectorias B'!$C$5:$I$45,'B Supuestos'!$C$21+1,1)</f>
        <v>3005.8223454896602</v>
      </c>
      <c r="E6" s="36">
        <f>D6*(1+'B Supuestos'!$B$12)</f>
        <v>3249.804828286608</v>
      </c>
      <c r="F6" s="36">
        <f>INDEX('Trayectorias B'!$C$5:$I$45,'B Supuestos'!$D$21+1,1)</f>
        <v>3041.5009025764198</v>
      </c>
      <c r="G6" s="36">
        <f t="shared" si="0"/>
        <v>-208.3039257101882</v>
      </c>
      <c r="H6" s="39" t="str">
        <f t="shared" si="1"/>
        <v>Costo de oportunidad</v>
      </c>
      <c r="I6" s="31">
        <f>'B Supuestos'!$F$21*G6</f>
        <v>-3190837.601878373</v>
      </c>
      <c r="J6" s="31">
        <f>'B Supuestos'!$B$6*SUM(INDEX('Trayectorias B'!$C$5:$I$45,'B Supuestos'!$C$21+2,1):INDEX('Trayectorias B'!$C$5:$I$45,'B Supuestos'!$D$21+1,1))</f>
        <v>62865873.392083585</v>
      </c>
      <c r="K6" s="31">
        <f t="shared" si="2"/>
        <v>66056710.99396196</v>
      </c>
      <c r="L6" s="31">
        <f>4*'B Supuestos'!$B$6*E6</f>
        <v>66374805.68842759</v>
      </c>
      <c r="M6" s="49">
        <f t="shared" si="3"/>
        <v>-5.2865424763959612E-2</v>
      </c>
      <c r="N6" s="49">
        <f t="shared" si="4"/>
        <v>-4.7924011402581401E-3</v>
      </c>
      <c r="O6" s="36">
        <f>K6/(4*'B Supuestos'!$B$6)</f>
        <v>3234.230459921911</v>
      </c>
    </row>
    <row r="7" spans="1:15" ht="27.6" x14ac:dyDescent="0.3">
      <c r="A7" s="29" t="s">
        <v>264</v>
      </c>
      <c r="B7" s="39">
        <v>3</v>
      </c>
      <c r="C7" s="39">
        <v>9</v>
      </c>
      <c r="D7" s="36">
        <f>INDEX('Trayectorias B'!$C$5:$I$45,'B Supuestos'!$C$22+1,1)</f>
        <v>3041.5009025764198</v>
      </c>
      <c r="E7" s="36">
        <f>D7*(1+'B Supuestos'!$B$12)</f>
        <v>3288.3794124634924</v>
      </c>
      <c r="F7" s="36">
        <f>INDEX('Trayectorias B'!$C$5:$I$45,'B Supuestos'!$D$22+1,1)</f>
        <v>3249.0581877952</v>
      </c>
      <c r="G7" s="36">
        <f t="shared" si="0"/>
        <v>-39.321224668292416</v>
      </c>
      <c r="H7" s="39" t="str">
        <f t="shared" si="1"/>
        <v>Costo de oportunidad</v>
      </c>
      <c r="I7" s="31">
        <f>'B Supuestos'!$F$22*G7</f>
        <v>-602329.70548071736</v>
      </c>
      <c r="J7" s="31">
        <f>'B Supuestos'!$B$6*SUM(INDEX('Trayectorias B'!$C$5:$I$45,'B Supuestos'!$C$22+2,1):INDEX('Trayectorias B'!$C$5:$I$45,'B Supuestos'!$D$22+1,1))</f>
        <v>66938316.335886031</v>
      </c>
      <c r="K7" s="31">
        <f t="shared" si="2"/>
        <v>67540646.041366756</v>
      </c>
      <c r="L7" s="31">
        <f>4*'B Supuestos'!$B$6*E7</f>
        <v>67162662.39507249</v>
      </c>
      <c r="M7" s="49">
        <f t="shared" si="3"/>
        <v>-3.3403389798156713E-3</v>
      </c>
      <c r="N7" s="49">
        <f t="shared" si="4"/>
        <v>5.6278836010228428E-3</v>
      </c>
      <c r="O7" s="36">
        <f>K7/(4*'B Supuestos'!$B$6)</f>
        <v>3306.8860290328371</v>
      </c>
    </row>
    <row r="8" spans="1:15" ht="27.6" x14ac:dyDescent="0.3">
      <c r="A8" s="29" t="s">
        <v>264</v>
      </c>
      <c r="B8" s="39">
        <v>4</v>
      </c>
      <c r="C8" s="39">
        <v>10</v>
      </c>
      <c r="D8" s="36">
        <f>INDEX('Trayectorias B'!$C$5:$I$45,'B Supuestos'!$C$23+1,1)</f>
        <v>3249.0581877952</v>
      </c>
      <c r="E8" s="36">
        <f>D8*(1+'B Supuestos'!$B$12)</f>
        <v>3512.7841144453623</v>
      </c>
      <c r="F8" s="36">
        <f>INDEX('Trayectorias B'!$C$5:$I$45,'B Supuestos'!$D$23+1,1)</f>
        <v>2915.2256893553599</v>
      </c>
      <c r="G8" s="36">
        <f t="shared" si="0"/>
        <v>-597.5584250900024</v>
      </c>
      <c r="H8" s="39" t="str">
        <f t="shared" si="1"/>
        <v>Costo de oportunidad</v>
      </c>
      <c r="I8" s="31">
        <f>'B Supuestos'!$F$23*G8</f>
        <v>-9153509.160212351</v>
      </c>
      <c r="J8" s="31">
        <f>'B Supuestos'!$B$6*SUM(INDEX('Trayectorias B'!$C$5:$I$45,'B Supuestos'!$C$23+2,1):INDEX('Trayectorias B'!$C$5:$I$45,'B Supuestos'!$D$23+1,1))</f>
        <v>63576218.614701509</v>
      </c>
      <c r="K8" s="31">
        <f t="shared" si="2"/>
        <v>72729727.774913862</v>
      </c>
      <c r="L8" s="31">
        <f>4*'B Supuestos'!$B$6*E8</f>
        <v>71745958.708737299</v>
      </c>
      <c r="M8" s="49">
        <f t="shared" si="3"/>
        <v>-0.11387038714197106</v>
      </c>
      <c r="N8" s="49">
        <f t="shared" si="4"/>
        <v>1.3711839438515394E-2</v>
      </c>
      <c r="O8" s="36">
        <f>K8/(4*'B Supuestos'!$B$6)</f>
        <v>3560.9508462048043</v>
      </c>
    </row>
    <row r="9" spans="1:15" ht="27.6" x14ac:dyDescent="0.3">
      <c r="A9" s="50" t="s">
        <v>265</v>
      </c>
      <c r="B9" s="51">
        <v>1</v>
      </c>
      <c r="C9" s="51">
        <v>7</v>
      </c>
      <c r="D9" s="52">
        <f>INDEX('Trayectorias B'!$C$5:$I$45,'B Supuestos'!$C$20+1,2)</f>
        <v>3695.2577510003298</v>
      </c>
      <c r="E9" s="52">
        <f>D9*(1+'B Supuestos'!$B$12)</f>
        <v>3995.2016788297888</v>
      </c>
      <c r="F9" s="52">
        <f>INDEX('Trayectorias B'!$C$5:$I$45,'B Supuestos'!$D$20+1,2)</f>
        <v>3721.63235773627</v>
      </c>
      <c r="G9" s="52">
        <f t="shared" si="0"/>
        <v>-273.56932109351874</v>
      </c>
      <c r="H9" s="51" t="str">
        <f t="shared" si="1"/>
        <v>Costo de oportunidad</v>
      </c>
      <c r="I9" s="53">
        <f>'B Supuestos'!$F$20*G9</f>
        <v>-4190584.855707515</v>
      </c>
      <c r="J9" s="53">
        <f>'B Supuestos'!$B$6*SUM(INDEX('Trayectorias B'!$C$5:$I$45,'B Supuestos'!$C$20+2,2):INDEX('Trayectorias B'!$C$5:$I$45,'B Supuestos'!$D$20+1,2))</f>
        <v>73789512.842997491</v>
      </c>
      <c r="K9" s="53">
        <f t="shared" si="2"/>
        <v>77980097.698705003</v>
      </c>
      <c r="L9" s="53">
        <f>4*'B Supuestos'!$B$6*E9</f>
        <v>81598972.593753561</v>
      </c>
      <c r="M9" s="54">
        <f t="shared" si="3"/>
        <v>-9.5705368615803921E-2</v>
      </c>
      <c r="N9" s="54">
        <f t="shared" si="4"/>
        <v>-4.4349515441393983E-2</v>
      </c>
      <c r="O9" s="52">
        <f>K9/(4*'B Supuestos'!$B$6)</f>
        <v>3818.0164202830442</v>
      </c>
    </row>
    <row r="10" spans="1:15" ht="27.6" x14ac:dyDescent="0.3">
      <c r="A10" s="55" t="s">
        <v>265</v>
      </c>
      <c r="B10" s="51">
        <v>2</v>
      </c>
      <c r="C10" s="51">
        <v>8</v>
      </c>
      <c r="D10" s="52">
        <f>INDEX('Trayectorias B'!$C$5:$I$45,'B Supuestos'!$C$21+1,2)</f>
        <v>3721.63235773627</v>
      </c>
      <c r="E10" s="52">
        <f>D10*(1+'B Supuestos'!$B$12)</f>
        <v>4023.7171113679869</v>
      </c>
      <c r="F10" s="52">
        <f>INDEX('Trayectorias B'!$C$5:$I$45,'B Supuestos'!$D$21+1,2)</f>
        <v>3336.8078754234102</v>
      </c>
      <c r="G10" s="52">
        <f t="shared" si="0"/>
        <v>-686.90923594457672</v>
      </c>
      <c r="H10" s="51" t="str">
        <f t="shared" si="1"/>
        <v>Costo de oportunidad</v>
      </c>
      <c r="I10" s="53">
        <f>'B Supuestos'!$F$21*G10</f>
        <v>-10522201.209875213</v>
      </c>
      <c r="J10" s="53">
        <f>'B Supuestos'!$B$6*SUM(INDEX('Trayectorias B'!$C$5:$I$45,'B Supuestos'!$C$21+2,2):INDEX('Trayectorias B'!$C$5:$I$45,'B Supuestos'!$D$21+1,2))</f>
        <v>74197868.294847608</v>
      </c>
      <c r="K10" s="53">
        <f t="shared" si="2"/>
        <v>84720069.504722819</v>
      </c>
      <c r="L10" s="53">
        <f>4*'B Supuestos'!$B$6*E10</f>
        <v>82181378.736230195</v>
      </c>
      <c r="M10" s="54">
        <f t="shared" si="3"/>
        <v>-9.7145004916582178E-2</v>
      </c>
      <c r="N10" s="54">
        <f t="shared" si="4"/>
        <v>3.0891313914808149E-2</v>
      </c>
      <c r="O10" s="52">
        <f>K10/(4*'B Supuestos'!$B$6)</f>
        <v>4148.0150197596404</v>
      </c>
    </row>
    <row r="11" spans="1:15" ht="27.6" x14ac:dyDescent="0.3">
      <c r="A11" s="55" t="s">
        <v>265</v>
      </c>
      <c r="B11" s="51">
        <v>3</v>
      </c>
      <c r="C11" s="51">
        <v>9</v>
      </c>
      <c r="D11" s="52">
        <f>INDEX('Trayectorias B'!$C$5:$I$45,'B Supuestos'!$C$22+1,2)</f>
        <v>3336.8078754234102</v>
      </c>
      <c r="E11" s="52">
        <f>D11*(1+'B Supuestos'!$B$12)</f>
        <v>3607.6564408031409</v>
      </c>
      <c r="F11" s="52">
        <f>INDEX('Trayectorias B'!$C$5:$I$45,'B Supuestos'!$D$22+1,2)</f>
        <v>3548.8585985405098</v>
      </c>
      <c r="G11" s="52">
        <f t="shared" si="0"/>
        <v>-58.797842262631093</v>
      </c>
      <c r="H11" s="51" t="str">
        <f t="shared" si="1"/>
        <v>Costo de oportunidad</v>
      </c>
      <c r="I11" s="53">
        <f>'B Supuestos'!$F$22*G11</f>
        <v>-900676.0931713942</v>
      </c>
      <c r="J11" s="53">
        <f>'B Supuestos'!$B$6*SUM(INDEX('Trayectorias B'!$C$5:$I$45,'B Supuestos'!$C$22+2,2):INDEX('Trayectorias B'!$C$5:$I$45,'B Supuestos'!$D$22+1,2))</f>
        <v>68742292.059124529</v>
      </c>
      <c r="K11" s="53">
        <f t="shared" si="2"/>
        <v>69642968.152295917</v>
      </c>
      <c r="L11" s="53">
        <f>4*'B Supuestos'!$B$6*E11</f>
        <v>73683654.2196787</v>
      </c>
      <c r="M11" s="54">
        <f t="shared" si="3"/>
        <v>-6.7061849916157934E-2</v>
      </c>
      <c r="N11" s="54">
        <f t="shared" si="4"/>
        <v>-5.483829636537807E-2</v>
      </c>
      <c r="O11" s="52">
        <f>K11/(4*'B Supuestos'!$B$6)</f>
        <v>3409.8187077179132</v>
      </c>
    </row>
    <row r="12" spans="1:15" x14ac:dyDescent="0.3">
      <c r="A12" s="55" t="s">
        <v>265</v>
      </c>
      <c r="B12" s="51">
        <v>4</v>
      </c>
      <c r="C12" s="51">
        <v>10</v>
      </c>
      <c r="D12" s="52">
        <f>INDEX('Trayectorias B'!$C$5:$I$45,'B Supuestos'!$C$23+1,2)</f>
        <v>3548.8585985405098</v>
      </c>
      <c r="E12" s="52">
        <f>D12*(1+'B Supuestos'!$B$12)</f>
        <v>3836.9193128626525</v>
      </c>
      <c r="F12" s="52">
        <f>INDEX('Trayectorias B'!$C$5:$I$45,'B Supuestos'!$D$23+1,2)</f>
        <v>3994.06444981708</v>
      </c>
      <c r="G12" s="52">
        <f t="shared" si="0"/>
        <v>157.14513695442747</v>
      </c>
      <c r="H12" s="51" t="str">
        <f t="shared" si="1"/>
        <v>Protección</v>
      </c>
      <c r="I12" s="53">
        <f>'B Supuestos'!$F$23*G12</f>
        <v>2407177.9263735162</v>
      </c>
      <c r="J12" s="53">
        <f>'B Supuestos'!$B$6*SUM(INDEX('Trayectorias B'!$C$5:$I$45,'B Supuestos'!$C$23+2,2):INDEX('Trayectorias B'!$C$5:$I$45,'B Supuestos'!$D$23+1,2))</f>
        <v>78835204.083986759</v>
      </c>
      <c r="K12" s="53">
        <f t="shared" si="2"/>
        <v>76428026.157613248</v>
      </c>
      <c r="L12" s="53">
        <f>4*'B Supuestos'!$B$6*E12</f>
        <v>78366174.982792929</v>
      </c>
      <c r="M12" s="54">
        <f t="shared" si="3"/>
        <v>5.9850962650251915E-3</v>
      </c>
      <c r="N12" s="54">
        <f t="shared" si="4"/>
        <v>-2.4731956428972635E-2</v>
      </c>
      <c r="O12" s="52">
        <f>K12/(4*'B Supuestos'!$B$6)</f>
        <v>3742.0247915954496</v>
      </c>
    </row>
    <row r="13" spans="1:15" x14ac:dyDescent="0.3">
      <c r="A13" s="20" t="s">
        <v>266</v>
      </c>
      <c r="B13" s="39">
        <v>1</v>
      </c>
      <c r="C13" s="39">
        <v>7</v>
      </c>
      <c r="D13" s="36">
        <f>INDEX('Trayectorias B'!$C$5:$I$45,'B Supuestos'!$C$20+1,3)</f>
        <v>3823.13883615244</v>
      </c>
      <c r="E13" s="36">
        <f>D13*(1+'B Supuestos'!$B$12)</f>
        <v>4133.462866686571</v>
      </c>
      <c r="F13" s="36">
        <f>INDEX('Trayectorias B'!$C$5:$I$45,'B Supuestos'!$D$20+1,3)</f>
        <v>4709.8613929362</v>
      </c>
      <c r="G13" s="36">
        <f t="shared" si="0"/>
        <v>576.39852624962896</v>
      </c>
      <c r="H13" s="39" t="str">
        <f t="shared" si="1"/>
        <v>Protección</v>
      </c>
      <c r="I13" s="31">
        <f>'B Supuestos'!$F$20*G13</f>
        <v>8829377.9627727829</v>
      </c>
      <c r="J13" s="31">
        <f>'B Supuestos'!$B$6*SUM(INDEX('Trayectorias B'!$C$5:$I$45,'B Supuestos'!$C$20+2,3):INDEX('Trayectorias B'!$C$5:$I$45,'B Supuestos'!$D$20+1,3))</f>
        <v>87962723.659357518</v>
      </c>
      <c r="K13" s="31">
        <f t="shared" si="2"/>
        <v>79133345.696584731</v>
      </c>
      <c r="L13" s="31">
        <f>4*'B Supuestos'!$B$6*E13</f>
        <v>84422852.784455195</v>
      </c>
      <c r="M13" s="49">
        <f t="shared" si="3"/>
        <v>4.1930244692632845E-2</v>
      </c>
      <c r="N13" s="49">
        <f t="shared" si="4"/>
        <v>-6.2654920005788095E-2</v>
      </c>
      <c r="O13" s="36">
        <f>K13/(4*'B Supuestos'!$B$6)</f>
        <v>3874.4810814274283</v>
      </c>
    </row>
    <row r="14" spans="1:15" ht="27.6" x14ac:dyDescent="0.3">
      <c r="A14" s="29" t="s">
        <v>266</v>
      </c>
      <c r="B14" s="39">
        <v>2</v>
      </c>
      <c r="C14" s="39">
        <v>8</v>
      </c>
      <c r="D14" s="36">
        <f>INDEX('Trayectorias B'!$C$5:$I$45,'B Supuestos'!$C$21+1,3)</f>
        <v>4709.8613929362</v>
      </c>
      <c r="E14" s="36">
        <f>D14*(1+'B Supuestos'!$B$12)</f>
        <v>5092.1606588932727</v>
      </c>
      <c r="F14" s="36">
        <f>INDEX('Trayectorias B'!$C$5:$I$45,'B Supuestos'!$D$21+1,3)</f>
        <v>5059.3467510581504</v>
      </c>
      <c r="G14" s="36">
        <f t="shared" si="0"/>
        <v>-32.813907835122336</v>
      </c>
      <c r="H14" s="39" t="str">
        <f t="shared" si="1"/>
        <v>Costo de oportunidad</v>
      </c>
      <c r="I14" s="31">
        <f>'B Supuestos'!$F$21*G14</f>
        <v>-502649.43700846739</v>
      </c>
      <c r="J14" s="31">
        <f>'B Supuestos'!$B$6*SUM(INDEX('Trayectorias B'!$C$5:$I$45,'B Supuestos'!$C$21+2,3):INDEX('Trayectorias B'!$C$5:$I$45,'B Supuestos'!$D$21+1,3))</f>
        <v>96891375.31299454</v>
      </c>
      <c r="K14" s="31">
        <f t="shared" si="2"/>
        <v>97394024.75000301</v>
      </c>
      <c r="L14" s="31">
        <f>4*'B Supuestos'!$B$6*E14</f>
        <v>104003530.09706591</v>
      </c>
      <c r="M14" s="49">
        <f t="shared" si="3"/>
        <v>-6.8383782525781922E-2</v>
      </c>
      <c r="N14" s="49">
        <f t="shared" si="4"/>
        <v>-6.3550778910045569E-2</v>
      </c>
      <c r="O14" s="36">
        <f>K14/(4*'B Supuestos'!$B$6)</f>
        <v>4768.5498826855146</v>
      </c>
    </row>
    <row r="15" spans="1:15" ht="27.6" x14ac:dyDescent="0.3">
      <c r="A15" s="29" t="s">
        <v>266</v>
      </c>
      <c r="B15" s="39">
        <v>3</v>
      </c>
      <c r="C15" s="39">
        <v>9</v>
      </c>
      <c r="D15" s="36">
        <f>INDEX('Trayectorias B'!$C$5:$I$45,'B Supuestos'!$C$22+1,3)</f>
        <v>5059.3467510581504</v>
      </c>
      <c r="E15" s="36">
        <f>D15*(1+'B Supuestos'!$B$12)</f>
        <v>5470.0137299320304</v>
      </c>
      <c r="F15" s="36">
        <f>INDEX('Trayectorias B'!$C$5:$I$45,'B Supuestos'!$D$22+1,3)</f>
        <v>5425.4502696890004</v>
      </c>
      <c r="G15" s="36">
        <f t="shared" si="0"/>
        <v>-44.563460243030022</v>
      </c>
      <c r="H15" s="39" t="str">
        <f t="shared" si="1"/>
        <v>Costo de oportunidad</v>
      </c>
      <c r="I15" s="31">
        <f>'B Supuestos'!$F$22*G15</f>
        <v>-682631.22804083256</v>
      </c>
      <c r="J15" s="31">
        <f>'B Supuestos'!$B$6*SUM(INDEX('Trayectorias B'!$C$5:$I$45,'B Supuestos'!$C$22+2,3):INDEX('Trayectorias B'!$C$5:$I$45,'B Supuestos'!$D$22+1,3))</f>
        <v>102062745.0472108</v>
      </c>
      <c r="K15" s="31">
        <f t="shared" si="2"/>
        <v>102745376.27525163</v>
      </c>
      <c r="L15" s="31">
        <f>4*'B Supuestos'!$B$6*E15</f>
        <v>111720893.29090302</v>
      </c>
      <c r="M15" s="49">
        <f t="shared" si="3"/>
        <v>-8.6448899209425112E-2</v>
      </c>
      <c r="N15" s="49">
        <f t="shared" si="4"/>
        <v>-8.0338750893090394E-2</v>
      </c>
      <c r="O15" s="36">
        <f>K15/(4*'B Supuestos'!$B$6)</f>
        <v>5030.5596595012366</v>
      </c>
    </row>
    <row r="16" spans="1:15" ht="27.6" x14ac:dyDescent="0.3">
      <c r="A16" s="29" t="s">
        <v>266</v>
      </c>
      <c r="B16" s="39">
        <v>4</v>
      </c>
      <c r="C16" s="39">
        <v>10</v>
      </c>
      <c r="D16" s="36">
        <f>INDEX('Trayectorias B'!$C$5:$I$45,'B Supuestos'!$C$23+1,3)</f>
        <v>5425.4502696890004</v>
      </c>
      <c r="E16" s="36">
        <f>D16*(1+'B Supuestos'!$B$12)</f>
        <v>5865.8338569214166</v>
      </c>
      <c r="F16" s="36">
        <f>INDEX('Trayectorias B'!$C$5:$I$45,'B Supuestos'!$D$23+1,3)</f>
        <v>5759.8568232893704</v>
      </c>
      <c r="G16" s="36">
        <f t="shared" si="0"/>
        <v>-105.97703363204619</v>
      </c>
      <c r="H16" s="39" t="str">
        <f t="shared" si="1"/>
        <v>Costo de oportunidad</v>
      </c>
      <c r="I16" s="31">
        <f>'B Supuestos'!$F$23*G16</f>
        <v>-1623375.5686349154</v>
      </c>
      <c r="J16" s="31">
        <f>'B Supuestos'!$B$6*SUM(INDEX('Trayectorias B'!$C$5:$I$45,'B Supuestos'!$C$23+2,3):INDEX('Trayectorias B'!$C$5:$I$45,'B Supuestos'!$D$23+1,3))</f>
        <v>114849624.36706439</v>
      </c>
      <c r="K16" s="31">
        <f t="shared" si="2"/>
        <v>116472999.9356993</v>
      </c>
      <c r="L16" s="31">
        <f>4*'B Supuestos'!$B$6*E16</f>
        <v>119805220.01348373</v>
      </c>
      <c r="M16" s="49">
        <f t="shared" si="3"/>
        <v>-4.1363770675948874E-2</v>
      </c>
      <c r="N16" s="49">
        <f t="shared" si="4"/>
        <v>-2.781364682949039E-2</v>
      </c>
      <c r="O16" s="36">
        <f>K16/(4*'B Supuestos'!$B$6)</f>
        <v>5702.6836256645365</v>
      </c>
    </row>
    <row r="17" spans="1:15" ht="27.6" x14ac:dyDescent="0.3">
      <c r="A17" s="50" t="s">
        <v>267</v>
      </c>
      <c r="B17" s="51">
        <v>1</v>
      </c>
      <c r="C17" s="51">
        <v>7</v>
      </c>
      <c r="D17" s="52">
        <f>INDEX('Trayectorias B'!$C$5:$I$45,'B Supuestos'!$C$20+1,4)</f>
        <v>3590.86965609546</v>
      </c>
      <c r="E17" s="52">
        <f>D17*(1+'B Supuestos'!$B$12)</f>
        <v>3882.3404063242697</v>
      </c>
      <c r="F17" s="52">
        <f>INDEX('Trayectorias B'!$C$5:$I$45,'B Supuestos'!$D$20+1,4)</f>
        <v>3219.7963680077</v>
      </c>
      <c r="G17" s="52">
        <f t="shared" si="0"/>
        <v>-662.54403831656964</v>
      </c>
      <c r="H17" s="51" t="str">
        <f t="shared" si="1"/>
        <v>Costo de oportunidad</v>
      </c>
      <c r="I17" s="53">
        <f>'B Supuestos'!$F$20*G17</f>
        <v>-10148970.65983359</v>
      </c>
      <c r="J17" s="53">
        <f>'B Supuestos'!$B$6*SUM(INDEX('Trayectorias B'!$C$5:$I$45,'B Supuestos'!$C$20+2,4):INDEX('Trayectorias B'!$C$5:$I$45,'B Supuestos'!$D$20+1,4))</f>
        <v>70125882.030099839</v>
      </c>
      <c r="K17" s="53">
        <f t="shared" si="2"/>
        <v>80274852.689933434</v>
      </c>
      <c r="L17" s="53">
        <f>4*'B Supuestos'!$B$6*E17</f>
        <v>79293866.463348776</v>
      </c>
      <c r="M17" s="54">
        <f t="shared" si="3"/>
        <v>-0.11562034798096976</v>
      </c>
      <c r="N17" s="54">
        <f t="shared" si="4"/>
        <v>1.2371527210595756E-2</v>
      </c>
      <c r="O17" s="52">
        <f>K17/(4*'B Supuestos'!$B$6)</f>
        <v>3930.3708863019051</v>
      </c>
    </row>
    <row r="18" spans="1:15" ht="27.6" x14ac:dyDescent="0.3">
      <c r="A18" s="55" t="s">
        <v>267</v>
      </c>
      <c r="B18" s="51">
        <v>2</v>
      </c>
      <c r="C18" s="51">
        <v>8</v>
      </c>
      <c r="D18" s="52">
        <f>INDEX('Trayectorias B'!$C$5:$I$45,'B Supuestos'!$C$21+1,4)</f>
        <v>3219.7963680077</v>
      </c>
      <c r="E18" s="52">
        <f>D18*(1+'B Supuestos'!$B$12)</f>
        <v>3481.1471138845795</v>
      </c>
      <c r="F18" s="52">
        <f>INDEX('Trayectorias B'!$C$5:$I$45,'B Supuestos'!$D$21+1,4)</f>
        <v>2966.9502703940102</v>
      </c>
      <c r="G18" s="52">
        <f t="shared" si="0"/>
        <v>-514.19684349056934</v>
      </c>
      <c r="H18" s="51" t="str">
        <f t="shared" si="1"/>
        <v>Costo de oportunidad</v>
      </c>
      <c r="I18" s="53">
        <f>'B Supuestos'!$F$21*G18</f>
        <v>-7876561.2188202236</v>
      </c>
      <c r="J18" s="53">
        <f>'B Supuestos'!$B$6*SUM(INDEX('Trayectorias B'!$C$5:$I$45,'B Supuestos'!$C$21+2,4):INDEX('Trayectorias B'!$C$5:$I$45,'B Supuestos'!$D$21+1,4))</f>
        <v>64081733.808601968</v>
      </c>
      <c r="K18" s="53">
        <f t="shared" si="2"/>
        <v>71958295.02742219</v>
      </c>
      <c r="L18" s="53">
        <f>4*'B Supuestos'!$B$6*E18</f>
        <v>71099796.900339186</v>
      </c>
      <c r="M18" s="54">
        <f t="shared" si="3"/>
        <v>-9.8707217146828952E-2</v>
      </c>
      <c r="N18" s="54">
        <f t="shared" si="4"/>
        <v>1.2074551046697968E-2</v>
      </c>
      <c r="O18" s="52">
        <f>K18/(4*'B Supuestos'!$B$6)</f>
        <v>3523.1804024122443</v>
      </c>
    </row>
    <row r="19" spans="1:15" x14ac:dyDescent="0.3">
      <c r="A19" s="55" t="s">
        <v>267</v>
      </c>
      <c r="B19" s="51">
        <v>3</v>
      </c>
      <c r="C19" s="51">
        <v>9</v>
      </c>
      <c r="D19" s="52">
        <f>INDEX('Trayectorias B'!$C$5:$I$45,'B Supuestos'!$C$22+1,4)</f>
        <v>2966.9502703940102</v>
      </c>
      <c r="E19" s="52">
        <f>D19*(1+'B Supuestos'!$B$12)</f>
        <v>3207.7775083683432</v>
      </c>
      <c r="F19" s="52">
        <f>INDEX('Trayectorias B'!$C$5:$I$45,'B Supuestos'!$D$22+1,4)</f>
        <v>3286.7372364376401</v>
      </c>
      <c r="G19" s="52">
        <f t="shared" si="0"/>
        <v>78.959728069296943</v>
      </c>
      <c r="H19" s="51" t="str">
        <f t="shared" si="1"/>
        <v>Protección</v>
      </c>
      <c r="I19" s="53">
        <f>'B Supuestos'!$F$22*G19</f>
        <v>1209519.5445722754</v>
      </c>
      <c r="J19" s="53">
        <f>'B Supuestos'!$B$6*SUM(INDEX('Trayectorias B'!$C$5:$I$45,'B Supuestos'!$C$22+2,4):INDEX('Trayectorias B'!$C$5:$I$45,'B Supuestos'!$D$22+1,4))</f>
        <v>65036998.141153321</v>
      </c>
      <c r="K19" s="53">
        <f t="shared" si="2"/>
        <v>63827478.596581042</v>
      </c>
      <c r="L19" s="53">
        <f>4*'B Supuestos'!$B$6*E19</f>
        <v>65516429.465677328</v>
      </c>
      <c r="M19" s="54">
        <f t="shared" si="3"/>
        <v>-7.3177266898399873E-3</v>
      </c>
      <c r="N19" s="54">
        <f t="shared" si="4"/>
        <v>-2.5779043254808176E-2</v>
      </c>
      <c r="O19" s="52">
        <f>K19/(4*'B Supuestos'!$B$6)</f>
        <v>3125.0840732283145</v>
      </c>
    </row>
    <row r="20" spans="1:15" ht="27.6" x14ac:dyDescent="0.3">
      <c r="A20" s="55" t="s">
        <v>267</v>
      </c>
      <c r="B20" s="51">
        <v>4</v>
      </c>
      <c r="C20" s="51">
        <v>10</v>
      </c>
      <c r="D20" s="52">
        <f>INDEX('Trayectorias B'!$C$5:$I$45,'B Supuestos'!$C$23+1,4)</f>
        <v>3286.7372364376401</v>
      </c>
      <c r="E20" s="52">
        <f>D20*(1+'B Supuestos'!$B$12)</f>
        <v>3553.5215699996425</v>
      </c>
      <c r="F20" s="52">
        <f>INDEX('Trayectorias B'!$C$5:$I$45,'B Supuestos'!$D$23+1,4)</f>
        <v>2741.3926416121899</v>
      </c>
      <c r="G20" s="52">
        <f t="shared" si="0"/>
        <v>-812.12892838745256</v>
      </c>
      <c r="H20" s="51" t="str">
        <f t="shared" si="1"/>
        <v>Costo de oportunidad</v>
      </c>
      <c r="I20" s="53">
        <f>'B Supuestos'!$F$23*G20</f>
        <v>-12440339.342798701</v>
      </c>
      <c r="J20" s="53">
        <f>'B Supuestos'!$B$6*SUM(INDEX('Trayectorias B'!$C$5:$I$45,'B Supuestos'!$C$23+2,4):INDEX('Trayectorias B'!$C$5:$I$45,'B Supuestos'!$D$23+1,4))</f>
        <v>62925710.868903622</v>
      </c>
      <c r="K20" s="53">
        <f t="shared" si="2"/>
        <v>75366050.211702317</v>
      </c>
      <c r="L20" s="53">
        <f>4*'B Supuestos'!$B$6*E20</f>
        <v>72577990.427418053</v>
      </c>
      <c r="M20" s="54">
        <f t="shared" si="3"/>
        <v>-0.13299182715960201</v>
      </c>
      <c r="N20" s="54">
        <f t="shared" si="4"/>
        <v>3.841467320692038E-2</v>
      </c>
      <c r="O20" s="52">
        <f>K20/(4*'B Supuestos'!$B$6)</f>
        <v>3690.0289398449218</v>
      </c>
    </row>
    <row r="21" spans="1:15" x14ac:dyDescent="0.3">
      <c r="A21" s="20" t="s">
        <v>268</v>
      </c>
      <c r="B21" s="39">
        <v>1</v>
      </c>
      <c r="C21" s="39">
        <v>7</v>
      </c>
      <c r="D21" s="36">
        <f>INDEX('Trayectorias B'!$C$5:$I$45,'B Supuestos'!$C$20+1,5)</f>
        <v>3784.6601592091301</v>
      </c>
      <c r="E21" s="36">
        <f>D21*(1+'B Supuestos'!$B$12)</f>
        <v>4091.8608770333603</v>
      </c>
      <c r="F21" s="36">
        <f>INDEX('Trayectorias B'!$C$5:$I$45,'B Supuestos'!$D$20+1,5)</f>
        <v>4345.8599655245698</v>
      </c>
      <c r="G21" s="36">
        <f t="shared" si="0"/>
        <v>253.99908849120948</v>
      </c>
      <c r="H21" s="39" t="str">
        <f t="shared" si="1"/>
        <v>Protección</v>
      </c>
      <c r="I21" s="31">
        <f>'B Supuestos'!$F$20*G21</f>
        <v>3890804.4562164638</v>
      </c>
      <c r="J21" s="31">
        <f>'B Supuestos'!$B$6*SUM(INDEX('Trayectorias B'!$C$5:$I$45,'B Supuestos'!$C$20+2,5):INDEX('Trayectorias B'!$C$5:$I$45,'B Supuestos'!$D$20+1,5))</f>
        <v>85292505.327874914</v>
      </c>
      <c r="K21" s="31">
        <f t="shared" si="2"/>
        <v>81401700.871658444</v>
      </c>
      <c r="L21" s="31">
        <f>4*'B Supuestos'!$B$6*E21</f>
        <v>83573163.610678047</v>
      </c>
      <c r="M21" s="49">
        <f t="shared" si="3"/>
        <v>2.0572892575974944E-2</v>
      </c>
      <c r="N21" s="49">
        <f t="shared" si="4"/>
        <v>-2.5982775393489588E-2</v>
      </c>
      <c r="O21" s="36">
        <f>K21/(4*'B Supuestos'!$B$6)</f>
        <v>3985.5429749239952</v>
      </c>
    </row>
    <row r="22" spans="1:15" ht="27.6" x14ac:dyDescent="0.3">
      <c r="A22" s="29" t="s">
        <v>268</v>
      </c>
      <c r="B22" s="39">
        <v>2</v>
      </c>
      <c r="C22" s="39">
        <v>8</v>
      </c>
      <c r="D22" s="36">
        <f>INDEX('Trayectorias B'!$C$5:$I$45,'B Supuestos'!$C$21+1,5)</f>
        <v>4345.8599655245698</v>
      </c>
      <c r="E22" s="36">
        <f>D22*(1+'B Supuestos'!$B$12)</f>
        <v>4698.6132497855569</v>
      </c>
      <c r="F22" s="36">
        <f>INDEX('Trayectorias B'!$C$5:$I$45,'B Supuestos'!$D$21+1,5)</f>
        <v>4535.5777547216203</v>
      </c>
      <c r="G22" s="36">
        <f t="shared" si="0"/>
        <v>-163.03549506393665</v>
      </c>
      <c r="H22" s="39" t="str">
        <f t="shared" si="1"/>
        <v>Costo de oportunidad</v>
      </c>
      <c r="I22" s="31">
        <f>'B Supuestos'!$F$21*G22</f>
        <v>-2497407.5083666118</v>
      </c>
      <c r="J22" s="31">
        <f>'B Supuestos'!$B$6*SUM(INDEX('Trayectorias B'!$C$5:$I$45,'B Supuestos'!$C$21+2,5):INDEX('Trayectorias B'!$C$5:$I$45,'B Supuestos'!$D$21+1,5))</f>
        <v>94635838.483789966</v>
      </c>
      <c r="K22" s="31">
        <f t="shared" si="2"/>
        <v>97133245.99215658</v>
      </c>
      <c r="L22" s="31">
        <f>4*'B Supuestos'!$B$6*E22</f>
        <v>95965621.918290511</v>
      </c>
      <c r="M22" s="49">
        <f t="shared" si="3"/>
        <v>-1.3856872991796831E-2</v>
      </c>
      <c r="N22" s="49">
        <f t="shared" si="4"/>
        <v>1.2167107871819294E-2</v>
      </c>
      <c r="O22" s="36">
        <f>K22/(4*'B Supuestos'!$B$6)</f>
        <v>4755.7817840436574</v>
      </c>
    </row>
    <row r="23" spans="1:15" x14ac:dyDescent="0.3">
      <c r="A23" s="29" t="s">
        <v>268</v>
      </c>
      <c r="B23" s="39">
        <v>3</v>
      </c>
      <c r="C23" s="39">
        <v>9</v>
      </c>
      <c r="D23" s="36">
        <f>INDEX('Trayectorias B'!$C$5:$I$45,'B Supuestos'!$C$22+1,5)</f>
        <v>4535.5777547216203</v>
      </c>
      <c r="E23" s="36">
        <f>D23*(1+'B Supuestos'!$B$12)</f>
        <v>4903.7304245479263</v>
      </c>
      <c r="F23" s="36">
        <f>INDEX('Trayectorias B'!$C$5:$I$45,'B Supuestos'!$D$22+1,5)</f>
        <v>4959.0441681996299</v>
      </c>
      <c r="G23" s="36">
        <f t="shared" si="0"/>
        <v>55.313743651703589</v>
      </c>
      <c r="H23" s="39" t="str">
        <f t="shared" si="1"/>
        <v>Protección</v>
      </c>
      <c r="I23" s="31">
        <f>'B Supuestos'!$F$22*G23</f>
        <v>847306.03392504586</v>
      </c>
      <c r="J23" s="31">
        <f>'B Supuestos'!$B$6*SUM(INDEX('Trayectorias B'!$C$5:$I$45,'B Supuestos'!$C$22+2,5):INDEX('Trayectorias B'!$C$5:$I$45,'B Supuestos'!$D$22+1,5))</f>
        <v>96674366.773328513</v>
      </c>
      <c r="K23" s="31">
        <f t="shared" si="2"/>
        <v>95827060.739403471</v>
      </c>
      <c r="L23" s="31">
        <f>4*'B Supuestos'!$B$6*E23</f>
        <v>100154985.07625884</v>
      </c>
      <c r="M23" s="49">
        <f t="shared" si="3"/>
        <v>-3.4752322116369472E-2</v>
      </c>
      <c r="N23" s="49">
        <f t="shared" si="4"/>
        <v>-4.3212270797704622E-2</v>
      </c>
      <c r="O23" s="36">
        <f>K23/(4*'B Supuestos'!$B$6)</f>
        <v>4691.8290975234186</v>
      </c>
    </row>
    <row r="24" spans="1:15" ht="27.6" x14ac:dyDescent="0.3">
      <c r="A24" s="29" t="s">
        <v>268</v>
      </c>
      <c r="B24" s="39">
        <v>4</v>
      </c>
      <c r="C24" s="39">
        <v>10</v>
      </c>
      <c r="D24" s="36">
        <f>INDEX('Trayectorias B'!$C$5:$I$45,'B Supuestos'!$C$23+1,5)</f>
        <v>4959.0441681996299</v>
      </c>
      <c r="E24" s="36">
        <f>D24*(1+'B Supuestos'!$B$12)</f>
        <v>5361.5695903266551</v>
      </c>
      <c r="F24" s="36">
        <f>INDEX('Trayectorias B'!$C$5:$I$45,'B Supuestos'!$D$23+1,5)</f>
        <v>4141.8056397933597</v>
      </c>
      <c r="G24" s="36">
        <f t="shared" si="0"/>
        <v>-1219.7639505332954</v>
      </c>
      <c r="H24" s="39" t="str">
        <f t="shared" si="1"/>
        <v>Costo de oportunidad</v>
      </c>
      <c r="I24" s="31">
        <f>'B Supuestos'!$F$23*G24</f>
        <v>-18684567.107930355</v>
      </c>
      <c r="J24" s="31">
        <f>'B Supuestos'!$B$6*SUM(INDEX('Trayectorias B'!$C$5:$I$45,'B Supuestos'!$C$23+2,5):INDEX('Trayectorias B'!$C$5:$I$45,'B Supuestos'!$D$23+1,5))</f>
        <v>84988567.395899996</v>
      </c>
      <c r="K24" s="31">
        <f t="shared" si="2"/>
        <v>103673134.50383034</v>
      </c>
      <c r="L24" s="31">
        <f>4*'B Supuestos'!$B$6*E24</f>
        <v>109506003.75916752</v>
      </c>
      <c r="M24" s="49">
        <f t="shared" si="3"/>
        <v>-0.2238912527315654</v>
      </c>
      <c r="N24" s="49">
        <f t="shared" si="4"/>
        <v>-5.3265291902763523E-2</v>
      </c>
      <c r="O24" s="36">
        <f>K24/(4*'B Supuestos'!$B$6)</f>
        <v>5075.9840210409257</v>
      </c>
    </row>
    <row r="25" spans="1:15" ht="27.6" x14ac:dyDescent="0.3">
      <c r="A25" s="50" t="s">
        <v>269</v>
      </c>
      <c r="B25" s="51">
        <v>1</v>
      </c>
      <c r="C25" s="51">
        <v>7</v>
      </c>
      <c r="D25" s="52">
        <f>INDEX('Trayectorias B'!$C$5:$I$45,'B Supuestos'!$C$20+1,6)</f>
        <v>3691.56839513352</v>
      </c>
      <c r="E25" s="52">
        <f>D25*(1+'B Supuestos'!$B$12)</f>
        <v>3991.2128580908598</v>
      </c>
      <c r="F25" s="52">
        <f>INDEX('Trayectorias B'!$C$5:$I$45,'B Supuestos'!$D$20+1,6)</f>
        <v>3954.1368570702598</v>
      </c>
      <c r="G25" s="52">
        <f t="shared" si="0"/>
        <v>-37.076001020599961</v>
      </c>
      <c r="H25" s="51" t="str">
        <f t="shared" si="1"/>
        <v>Costo de oportunidad</v>
      </c>
      <c r="I25" s="53">
        <f>'B Supuestos'!$F$20*G25</f>
        <v>-567936.95932743058</v>
      </c>
      <c r="J25" s="53">
        <f>'B Supuestos'!$B$6*SUM(INDEX('Trayectorias B'!$C$5:$I$45,'B Supuestos'!$C$20+2,6):INDEX('Trayectorias B'!$C$5:$I$45,'B Supuestos'!$D$20+1,6))</f>
        <v>79033632.952380836</v>
      </c>
      <c r="K25" s="53">
        <f t="shared" si="2"/>
        <v>79601569.911708266</v>
      </c>
      <c r="L25" s="53">
        <f>4*'B Supuestos'!$B$6*E25</f>
        <v>81517503.94703117</v>
      </c>
      <c r="M25" s="54">
        <f t="shared" si="3"/>
        <v>-3.047040051992167E-2</v>
      </c>
      <c r="N25" s="54">
        <f t="shared" si="4"/>
        <v>-2.3503345202618653E-2</v>
      </c>
      <c r="O25" s="52">
        <f>K25/(4*'B Supuestos'!$B$6)</f>
        <v>3897.40600451002</v>
      </c>
    </row>
    <row r="26" spans="1:15" x14ac:dyDescent="0.3">
      <c r="A26" s="55" t="s">
        <v>269</v>
      </c>
      <c r="B26" s="51">
        <v>2</v>
      </c>
      <c r="C26" s="51">
        <v>8</v>
      </c>
      <c r="D26" s="52">
        <f>INDEX('Trayectorias B'!$C$5:$I$45,'B Supuestos'!$C$21+1,6)</f>
        <v>3954.1368570702598</v>
      </c>
      <c r="E26" s="52">
        <f>D26*(1+'B Supuestos'!$B$12)</f>
        <v>4275.0939918638542</v>
      </c>
      <c r="F26" s="52">
        <f>INDEX('Trayectorias B'!$C$5:$I$45,'B Supuestos'!$D$21+1,6)</f>
        <v>5356.5356277055098</v>
      </c>
      <c r="G26" s="52">
        <f t="shared" si="0"/>
        <v>1081.4416358416556</v>
      </c>
      <c r="H26" s="51" t="str">
        <f t="shared" si="1"/>
        <v>Protección</v>
      </c>
      <c r="I26" s="53">
        <f>'B Supuestos'!$F$21*G26</f>
        <v>16565720.612876756</v>
      </c>
      <c r="J26" s="53">
        <f>'B Supuestos'!$B$6*SUM(INDEX('Trayectorias B'!$C$5:$I$45,'B Supuestos'!$C$21+2,6):INDEX('Trayectorias B'!$C$5:$I$45,'B Supuestos'!$D$21+1,6))</f>
        <v>101106931.03999253</v>
      </c>
      <c r="K26" s="53">
        <f t="shared" si="2"/>
        <v>84541210.427115768</v>
      </c>
      <c r="L26" s="53">
        <f>4*'B Supuestos'!$B$6*E26</f>
        <v>87315561.396138772</v>
      </c>
      <c r="M26" s="54">
        <f t="shared" si="3"/>
        <v>0.15794858812490697</v>
      </c>
      <c r="N26" s="54">
        <f t="shared" si="4"/>
        <v>-3.1773843340892616E-2</v>
      </c>
      <c r="O26" s="52">
        <f>K26/(4*'B Supuestos'!$B$6)</f>
        <v>4139.2578250987808</v>
      </c>
    </row>
    <row r="27" spans="1:15" ht="27.6" x14ac:dyDescent="0.3">
      <c r="A27" s="55" t="s">
        <v>269</v>
      </c>
      <c r="B27" s="51">
        <v>3</v>
      </c>
      <c r="C27" s="51">
        <v>9</v>
      </c>
      <c r="D27" s="52">
        <f>INDEX('Trayectorias B'!$C$5:$I$45,'B Supuestos'!$C$22+1,6)</f>
        <v>5356.5356277055098</v>
      </c>
      <c r="E27" s="52">
        <f>D27*(1+'B Supuestos'!$B$12)</f>
        <v>5791.3254161302802</v>
      </c>
      <c r="F27" s="52">
        <f>INDEX('Trayectorias B'!$C$5:$I$45,'B Supuestos'!$D$22+1,6)</f>
        <v>5423.6439799556601</v>
      </c>
      <c r="G27" s="52">
        <f t="shared" si="0"/>
        <v>-367.6814361746201</v>
      </c>
      <c r="H27" s="51" t="str">
        <f t="shared" si="1"/>
        <v>Costo de oportunidad</v>
      </c>
      <c r="I27" s="53">
        <f>'B Supuestos'!$F$22*G27</f>
        <v>-5632211.4336476894</v>
      </c>
      <c r="J27" s="53">
        <f>'B Supuestos'!$B$6*SUM(INDEX('Trayectorias B'!$C$5:$I$45,'B Supuestos'!$C$22+2,6):INDEX('Trayectorias B'!$C$5:$I$45,'B Supuestos'!$D$22+1,6))</f>
        <v>102308320.17924654</v>
      </c>
      <c r="K27" s="53">
        <f t="shared" si="2"/>
        <v>107940531.61289424</v>
      </c>
      <c r="L27" s="53">
        <f>4*'B Supuestos'!$B$6*E27</f>
        <v>118283441.4633956</v>
      </c>
      <c r="M27" s="54">
        <f t="shared" si="3"/>
        <v>-0.13505796827100913</v>
      </c>
      <c r="N27" s="54">
        <f t="shared" si="4"/>
        <v>-8.7441739287760889E-2</v>
      </c>
      <c r="O27" s="52">
        <f>K27/(4*'B Supuestos'!$B$6)</f>
        <v>5284.9218489624327</v>
      </c>
    </row>
    <row r="28" spans="1:15" ht="27.6" x14ac:dyDescent="0.3">
      <c r="A28" s="55" t="s">
        <v>269</v>
      </c>
      <c r="B28" s="51">
        <v>4</v>
      </c>
      <c r="C28" s="51">
        <v>10</v>
      </c>
      <c r="D28" s="52">
        <f>INDEX('Trayectorias B'!$C$5:$I$45,'B Supuestos'!$C$23+1,6)</f>
        <v>5423.6439799556601</v>
      </c>
      <c r="E28" s="52">
        <f>D28*(1+'B Supuestos'!$B$12)</f>
        <v>5863.8809507207216</v>
      </c>
      <c r="F28" s="52">
        <f>INDEX('Trayectorias B'!$C$5:$I$45,'B Supuestos'!$D$23+1,6)</f>
        <v>5659.3114562028904</v>
      </c>
      <c r="G28" s="52">
        <f t="shared" si="0"/>
        <v>-204.56949451783112</v>
      </c>
      <c r="H28" s="51" t="str">
        <f t="shared" si="1"/>
        <v>Costo de oportunidad</v>
      </c>
      <c r="I28" s="53">
        <f>'B Supuestos'!$F$23*G28</f>
        <v>-3133632.902401038</v>
      </c>
      <c r="J28" s="53">
        <f>'B Supuestos'!$B$6*SUM(INDEX('Trayectorias B'!$C$5:$I$45,'B Supuestos'!$C$23+2,6):INDEX('Trayectorias B'!$C$5:$I$45,'B Supuestos'!$D$23+1,6))</f>
        <v>119881656.0253153</v>
      </c>
      <c r="K28" s="53">
        <f t="shared" si="2"/>
        <v>123015288.92771634</v>
      </c>
      <c r="L28" s="53">
        <f>4*'B Supuestos'!$B$6*E28</f>
        <v>119765333.38137874</v>
      </c>
      <c r="M28" s="54">
        <f t="shared" si="3"/>
        <v>9.7125470828984817E-4</v>
      </c>
      <c r="N28" s="54">
        <f t="shared" si="4"/>
        <v>2.7136028887328356E-2</v>
      </c>
      <c r="O28" s="52">
        <f>K28/(4*'B Supuestos'!$B$6)</f>
        <v>6023.0033935913334</v>
      </c>
    </row>
    <row r="29" spans="1:15" ht="27.6" x14ac:dyDescent="0.3">
      <c r="A29" s="20" t="s">
        <v>270</v>
      </c>
      <c r="B29" s="39">
        <v>1</v>
      </c>
      <c r="C29" s="39">
        <v>7</v>
      </c>
      <c r="D29" s="36">
        <f>INDEX('Trayectorias B'!$C$5:$I$45,'B Supuestos'!$C$20+1,7)</f>
        <v>3708.3528914352801</v>
      </c>
      <c r="E29" s="36">
        <f>D29*(1+'B Supuestos'!$B$12)</f>
        <v>4009.3597513041818</v>
      </c>
      <c r="F29" s="36">
        <f>INDEX('Trayectorias B'!$C$5:$I$45,'B Supuestos'!$D$20+1,7)</f>
        <v>3779.39362340445</v>
      </c>
      <c r="G29" s="36">
        <f t="shared" si="0"/>
        <v>-229.96612789973187</v>
      </c>
      <c r="H29" s="39" t="str">
        <f t="shared" si="1"/>
        <v>Costo de oportunidad</v>
      </c>
      <c r="I29" s="31">
        <f>'B Supuestos'!$F$20*G29</f>
        <v>-3522663.173817209</v>
      </c>
      <c r="J29" s="31">
        <f>'B Supuestos'!$B$6*SUM(INDEX('Trayectorias B'!$C$5:$I$45,'B Supuestos'!$C$20+2,7):INDEX('Trayectorias B'!$C$5:$I$45,'B Supuestos'!$D$20+1,7))</f>
        <v>76644997.828609541</v>
      </c>
      <c r="K29" s="31">
        <f t="shared" si="2"/>
        <v>80167661.002426744</v>
      </c>
      <c r="L29" s="31">
        <f>4*'B Supuestos'!$B$6*E29</f>
        <v>81888140.515848741</v>
      </c>
      <c r="M29" s="49">
        <f t="shared" si="3"/>
        <v>-6.4028107784721677E-2</v>
      </c>
      <c r="N29" s="49">
        <f t="shared" si="4"/>
        <v>-2.1010118224494501E-2</v>
      </c>
      <c r="O29" s="36">
        <f>K29/(4*'B Supuestos'!$B$6)</f>
        <v>3925.1226289247516</v>
      </c>
    </row>
    <row r="30" spans="1:15" ht="27.6" x14ac:dyDescent="0.3">
      <c r="A30" s="29" t="s">
        <v>270</v>
      </c>
      <c r="B30" s="39">
        <v>2</v>
      </c>
      <c r="C30" s="39">
        <v>8</v>
      </c>
      <c r="D30" s="36">
        <f>INDEX('Trayectorias B'!$C$5:$I$45,'B Supuestos'!$C$21+1,7)</f>
        <v>3779.39362340445</v>
      </c>
      <c r="E30" s="36">
        <f>D30*(1+'B Supuestos'!$B$12)</f>
        <v>4086.1668567223878</v>
      </c>
      <c r="F30" s="36">
        <f>INDEX('Trayectorias B'!$C$5:$I$45,'B Supuestos'!$D$21+1,7)</f>
        <v>3851.7952791439502</v>
      </c>
      <c r="G30" s="36">
        <f t="shared" si="0"/>
        <v>-234.37157757843761</v>
      </c>
      <c r="H30" s="39" t="str">
        <f t="shared" si="1"/>
        <v>Costo de oportunidad</v>
      </c>
      <c r="I30" s="31">
        <f>'B Supuestos'!$F$21*G30</f>
        <v>-3590146.6570980512</v>
      </c>
      <c r="J30" s="31">
        <f>'B Supuestos'!$B$6*SUM(INDEX('Trayectorias B'!$C$5:$I$45,'B Supuestos'!$C$21+2,7):INDEX('Trayectorias B'!$C$5:$I$45,'B Supuestos'!$D$21+1,7))</f>
        <v>78113282.241372764</v>
      </c>
      <c r="K30" s="31">
        <f t="shared" si="2"/>
        <v>81703428.898470819</v>
      </c>
      <c r="L30" s="31">
        <f>4*'B Supuestos'!$B$6*E30</f>
        <v>83456867.552392602</v>
      </c>
      <c r="M30" s="49">
        <f t="shared" si="3"/>
        <v>-6.4028107784721677E-2</v>
      </c>
      <c r="N30" s="49">
        <f t="shared" si="4"/>
        <v>-2.1010118224494945E-2</v>
      </c>
      <c r="O30" s="36">
        <f>K30/(4*'B Supuestos'!$B$6)</f>
        <v>4000.3160079776376</v>
      </c>
    </row>
    <row r="31" spans="1:15" ht="27.6" x14ac:dyDescent="0.3">
      <c r="A31" s="29" t="s">
        <v>270</v>
      </c>
      <c r="B31" s="39">
        <v>3</v>
      </c>
      <c r="C31" s="39">
        <v>9</v>
      </c>
      <c r="D31" s="36">
        <f>INDEX('Trayectorias B'!$C$5:$I$45,'B Supuestos'!$C$22+1,7)</f>
        <v>3851.7952791439502</v>
      </c>
      <c r="E31" s="36">
        <f>D31*(1+'B Supuestos'!$B$12)</f>
        <v>4164.4453520403949</v>
      </c>
      <c r="F31" s="36">
        <f>INDEX('Trayectorias B'!$C$5:$I$45,'B Supuestos'!$D$22+1,7)</f>
        <v>3925.58392980279</v>
      </c>
      <c r="G31" s="36">
        <f t="shared" si="0"/>
        <v>-238.86142223760498</v>
      </c>
      <c r="H31" s="39" t="str">
        <f t="shared" si="1"/>
        <v>Costo de oportunidad</v>
      </c>
      <c r="I31" s="31">
        <f>'B Supuestos'!$F$22*G31</f>
        <v>-3658922.9181129117</v>
      </c>
      <c r="J31" s="31">
        <f>'B Supuestos'!$B$6*SUM(INDEX('Trayectorias B'!$C$5:$I$45,'B Supuestos'!$C$22+2,7):INDEX('Trayectorias B'!$C$5:$I$45,'B Supuestos'!$D$22+1,7))</f>
        <v>79609694.505631313</v>
      </c>
      <c r="K31" s="31">
        <f t="shared" si="2"/>
        <v>83268617.423744231</v>
      </c>
      <c r="L31" s="31">
        <f>4*'B Supuestos'!$B$6*E31</f>
        <v>85055646.614781573</v>
      </c>
      <c r="M31" s="49">
        <f t="shared" si="3"/>
        <v>-6.4028107784719679E-2</v>
      </c>
      <c r="N31" s="49">
        <f t="shared" si="4"/>
        <v>-2.1010118224493946E-2</v>
      </c>
      <c r="O31" s="36">
        <f>K31/(4*'B Supuestos'!$B$6)</f>
        <v>4076.9498628545821</v>
      </c>
    </row>
    <row r="32" spans="1:15" ht="27.6" x14ac:dyDescent="0.3">
      <c r="A32" s="29" t="s">
        <v>270</v>
      </c>
      <c r="B32" s="39">
        <v>4</v>
      </c>
      <c r="C32" s="39">
        <v>10</v>
      </c>
      <c r="D32" s="36">
        <f>INDEX('Trayectorias B'!$C$5:$I$45,'B Supuestos'!$C$23+1,7)</f>
        <v>3925.58392980279</v>
      </c>
      <c r="E32" s="36">
        <f>D32*(1+'B Supuestos'!$B$12)</f>
        <v>4244.2234246013622</v>
      </c>
      <c r="F32" s="36">
        <f>INDEX('Trayectorias B'!$C$5:$I$45,'B Supuestos'!$D$23+1,7)</f>
        <v>4000.78614597366</v>
      </c>
      <c r="G32" s="36">
        <f t="shared" si="0"/>
        <v>-243.4372786277022</v>
      </c>
      <c r="H32" s="39" t="str">
        <f t="shared" si="1"/>
        <v>Costo de oportunidad</v>
      </c>
      <c r="I32" s="31">
        <f>'B Supuestos'!$F$23*G32</f>
        <v>-3729016.7225409262</v>
      </c>
      <c r="J32" s="31">
        <f>'B Supuestos'!$B$6*SUM(INDEX('Trayectorias B'!$C$5:$I$45,'B Supuestos'!$C$23+2,7):INDEX('Trayectorias B'!$C$5:$I$45,'B Supuestos'!$D$23+1,7))</f>
        <v>81134773.465237334</v>
      </c>
      <c r="K32" s="31">
        <f t="shared" si="2"/>
        <v>84863790.187778264</v>
      </c>
      <c r="L32" s="31">
        <f>4*'B Supuestos'!$B$6*E32</f>
        <v>86685053.408180699</v>
      </c>
      <c r="M32" s="49">
        <f t="shared" si="3"/>
        <v>-6.4028107784721899E-2</v>
      </c>
      <c r="N32" s="49">
        <f t="shared" si="4"/>
        <v>-2.1010118224493834E-2</v>
      </c>
      <c r="O32" s="36">
        <f>K32/(4*'B Supuestos'!$B$6)</f>
        <v>4155.0517886793214</v>
      </c>
    </row>
    <row r="35" spans="1:10" ht="15.6" x14ac:dyDescent="0.3">
      <c r="A35" s="12" t="s">
        <v>271</v>
      </c>
    </row>
    <row r="36" spans="1:10" ht="39.75" customHeight="1" x14ac:dyDescent="0.3">
      <c r="A36" s="2" t="s">
        <v>125</v>
      </c>
      <c r="B36" s="2" t="s">
        <v>272</v>
      </c>
      <c r="C36" s="2" t="s">
        <v>273</v>
      </c>
      <c r="D36" s="2" t="s">
        <v>274</v>
      </c>
      <c r="E36" s="71" t="s">
        <v>236</v>
      </c>
      <c r="F36" s="71"/>
      <c r="G36" s="71"/>
      <c r="H36" s="71"/>
      <c r="I36" s="71"/>
      <c r="J36" s="71"/>
    </row>
    <row r="37" spans="1:10" ht="31.5" customHeight="1" x14ac:dyDescent="0.3">
      <c r="A37" s="15" t="s">
        <v>275</v>
      </c>
      <c r="B37" s="49">
        <v>0.32526250000000001</v>
      </c>
      <c r="C37" s="49">
        <v>0.32445000000000002</v>
      </c>
      <c r="D37" s="49">
        <v>0.30653750000000002</v>
      </c>
      <c r="E37" s="70" t="s">
        <v>276</v>
      </c>
      <c r="F37" s="70"/>
      <c r="G37" s="70"/>
      <c r="H37" s="70"/>
      <c r="I37" s="70"/>
      <c r="J37" s="70"/>
    </row>
    <row r="38" spans="1:10" ht="31.5" customHeight="1" x14ac:dyDescent="0.3">
      <c r="A38" s="15" t="s">
        <v>277</v>
      </c>
      <c r="B38" s="49">
        <v>0.67473749999999999</v>
      </c>
      <c r="C38" s="49">
        <v>0.67554999999999998</v>
      </c>
      <c r="D38" s="49">
        <v>0.69346249999999998</v>
      </c>
      <c r="E38" s="70" t="s">
        <v>278</v>
      </c>
      <c r="F38" s="70"/>
      <c r="G38" s="70"/>
      <c r="H38" s="70"/>
      <c r="I38" s="70"/>
      <c r="J38" s="70"/>
    </row>
    <row r="39" spans="1:10" ht="31.5" customHeight="1" x14ac:dyDescent="0.3">
      <c r="A39" s="15" t="s">
        <v>279</v>
      </c>
      <c r="B39" s="49">
        <v>0.1057125</v>
      </c>
      <c r="C39" s="49">
        <v>0.1036</v>
      </c>
      <c r="D39" s="49">
        <v>9.1512499999999997E-2</v>
      </c>
      <c r="E39" s="70" t="s">
        <v>280</v>
      </c>
      <c r="F39" s="70"/>
      <c r="G39" s="70"/>
      <c r="H39" s="70"/>
      <c r="I39" s="70"/>
      <c r="J39" s="70"/>
    </row>
    <row r="40" spans="1:10" ht="31.5" customHeight="1" x14ac:dyDescent="0.3">
      <c r="A40" s="15" t="s">
        <v>281</v>
      </c>
      <c r="B40" s="49">
        <v>3.04625E-2</v>
      </c>
      <c r="C40" s="49">
        <v>3.3287499999999998E-2</v>
      </c>
      <c r="D40" s="49">
        <v>3.1462499999999997E-2</v>
      </c>
      <c r="E40" s="70" t="s">
        <v>282</v>
      </c>
      <c r="F40" s="70"/>
      <c r="G40" s="70"/>
      <c r="H40" s="70"/>
      <c r="I40" s="70"/>
      <c r="J40" s="70"/>
    </row>
    <row r="41" spans="1:10" ht="31.5" customHeight="1" x14ac:dyDescent="0.3">
      <c r="A41" s="15" t="s">
        <v>283</v>
      </c>
      <c r="B41" s="49">
        <v>3.2474999999999997E-2</v>
      </c>
      <c r="C41" s="49">
        <v>3.2487500000000002E-2</v>
      </c>
      <c r="D41" s="49">
        <v>3.09625E-2</v>
      </c>
      <c r="E41" s="70" t="s">
        <v>284</v>
      </c>
      <c r="F41" s="70"/>
      <c r="G41" s="70"/>
      <c r="H41" s="70"/>
      <c r="I41" s="70"/>
      <c r="J41" s="70"/>
    </row>
    <row r="42" spans="1:10" ht="31.5" customHeight="1" x14ac:dyDescent="0.3">
      <c r="A42" s="15" t="s">
        <v>285</v>
      </c>
      <c r="B42" s="49">
        <v>0.170940474530764</v>
      </c>
      <c r="C42" s="49">
        <v>0.175782227150651</v>
      </c>
      <c r="D42" s="49">
        <v>0.184328496735398</v>
      </c>
      <c r="E42" s="70" t="s">
        <v>286</v>
      </c>
      <c r="F42" s="70"/>
      <c r="G42" s="70"/>
      <c r="H42" s="70"/>
      <c r="I42" s="70"/>
      <c r="J42" s="70"/>
    </row>
    <row r="43" spans="1:10" ht="31.5" customHeight="1" x14ac:dyDescent="0.3">
      <c r="A43" s="15" t="s">
        <v>287</v>
      </c>
      <c r="B43" s="49">
        <v>2.25008845734299E-2</v>
      </c>
      <c r="C43" s="49">
        <v>2.25517564120538E-2</v>
      </c>
      <c r="D43" s="49">
        <v>1.9169457965911602E-2</v>
      </c>
      <c r="E43" s="70" t="s">
        <v>288</v>
      </c>
      <c r="F43" s="70"/>
      <c r="G43" s="70"/>
      <c r="H43" s="70"/>
      <c r="I43" s="70"/>
      <c r="J43" s="70"/>
    </row>
    <row r="44" spans="1:10" ht="31.5" customHeight="1" x14ac:dyDescent="0.3">
      <c r="A44" s="15" t="s">
        <v>289</v>
      </c>
      <c r="B44" s="31">
        <v>14164856.617834199</v>
      </c>
      <c r="C44" s="31">
        <v>14550270.8361803</v>
      </c>
      <c r="D44" s="31">
        <v>15325619.115247799</v>
      </c>
      <c r="E44" s="70" t="s">
        <v>290</v>
      </c>
      <c r="F44" s="70"/>
      <c r="G44" s="70"/>
      <c r="H44" s="70"/>
      <c r="I44" s="70"/>
      <c r="J44" s="70"/>
    </row>
    <row r="45" spans="1:10" ht="31.5" customHeight="1" x14ac:dyDescent="0.3">
      <c r="A45" s="15" t="s">
        <v>291</v>
      </c>
      <c r="B45" s="31">
        <v>1849358.6032092201</v>
      </c>
      <c r="C45" s="31">
        <v>1872241.96272022</v>
      </c>
      <c r="D45" s="31">
        <v>1629375.9081484701</v>
      </c>
      <c r="E45" s="70" t="s">
        <v>292</v>
      </c>
      <c r="F45" s="70"/>
      <c r="G45" s="70"/>
      <c r="H45" s="70"/>
      <c r="I45" s="70"/>
      <c r="J45" s="70"/>
    </row>
    <row r="46" spans="1:10" ht="31.5" customHeight="1" x14ac:dyDescent="0.3">
      <c r="A46" s="15" t="s">
        <v>293</v>
      </c>
      <c r="B46" s="49">
        <v>0.67473749999999999</v>
      </c>
      <c r="C46" s="49">
        <v>0.67554999999999998</v>
      </c>
      <c r="D46" s="49">
        <v>0.69346249999999998</v>
      </c>
      <c r="E46" s="70" t="s">
        <v>294</v>
      </c>
      <c r="F46" s="70"/>
      <c r="G46" s="70"/>
      <c r="H46" s="70"/>
      <c r="I46" s="70"/>
      <c r="J46" s="70"/>
    </row>
    <row r="47" spans="1:10" ht="31.5" customHeight="1" x14ac:dyDescent="0.3">
      <c r="A47" s="15" t="s">
        <v>295</v>
      </c>
      <c r="B47" s="49">
        <v>0.67410000000000003</v>
      </c>
      <c r="C47" s="49">
        <v>0.67449999999999999</v>
      </c>
      <c r="D47" s="49">
        <v>0.69088749999999999</v>
      </c>
      <c r="E47" s="70" t="s">
        <v>296</v>
      </c>
      <c r="F47" s="70"/>
      <c r="G47" s="70"/>
      <c r="H47" s="70"/>
      <c r="I47" s="70"/>
      <c r="J47" s="70"/>
    </row>
    <row r="48" spans="1:10" ht="31.5" customHeight="1" x14ac:dyDescent="0.3">
      <c r="A48" s="15" t="s">
        <v>297</v>
      </c>
      <c r="B48" s="49">
        <v>0.32517499999999999</v>
      </c>
      <c r="C48" s="49">
        <v>0.32417499999999999</v>
      </c>
      <c r="D48" s="49">
        <v>0.30558750000000001</v>
      </c>
      <c r="E48" s="70" t="s">
        <v>298</v>
      </c>
      <c r="F48" s="70"/>
      <c r="G48" s="70"/>
      <c r="H48" s="70"/>
      <c r="I48" s="70"/>
      <c r="J48" s="70"/>
    </row>
    <row r="49" spans="1:13" ht="31.5" customHeight="1" x14ac:dyDescent="0.3">
      <c r="A49" s="15" t="s">
        <v>299</v>
      </c>
      <c r="B49" s="19">
        <v>7.2499999999999995E-4</v>
      </c>
      <c r="C49" s="19">
        <v>1.325E-3</v>
      </c>
      <c r="D49" s="19">
        <v>3.5249999999999999E-3</v>
      </c>
      <c r="E49" s="70" t="s">
        <v>300</v>
      </c>
      <c r="F49" s="70"/>
      <c r="G49" s="70"/>
      <c r="H49" s="70"/>
      <c r="I49" s="70"/>
      <c r="J49" s="70"/>
    </row>
    <row r="50" spans="1:13" ht="31.5" customHeight="1" x14ac:dyDescent="0.3">
      <c r="A50" s="15" t="s">
        <v>301</v>
      </c>
      <c r="B50" s="19">
        <v>3.8100000000000002E-2</v>
      </c>
      <c r="C50" s="19">
        <v>3.9662500000000003E-2</v>
      </c>
      <c r="D50" s="19">
        <v>3.6587500000000002E-2</v>
      </c>
      <c r="E50" s="70" t="s">
        <v>302</v>
      </c>
      <c r="F50" s="70"/>
      <c r="G50" s="70"/>
      <c r="H50" s="70"/>
      <c r="I50" s="70"/>
      <c r="J50" s="70"/>
    </row>
    <row r="52" spans="1:13" ht="15.6" x14ac:dyDescent="0.3">
      <c r="A52" s="12" t="s">
        <v>303</v>
      </c>
    </row>
    <row r="53" spans="1:13" ht="54" customHeight="1" x14ac:dyDescent="0.3">
      <c r="A53" s="2" t="s">
        <v>304</v>
      </c>
      <c r="B53" s="2" t="s">
        <v>161</v>
      </c>
      <c r="C53" s="2" t="s">
        <v>70</v>
      </c>
      <c r="D53" s="2" t="s">
        <v>305</v>
      </c>
      <c r="E53" s="2" t="s">
        <v>306</v>
      </c>
      <c r="F53" s="2" t="s">
        <v>307</v>
      </c>
      <c r="G53" s="2" t="s">
        <v>308</v>
      </c>
      <c r="H53" s="2" t="s">
        <v>309</v>
      </c>
      <c r="I53" s="2" t="s">
        <v>310</v>
      </c>
      <c r="J53" s="2" t="s">
        <v>311</v>
      </c>
      <c r="K53" s="2" t="s">
        <v>312</v>
      </c>
      <c r="L53" s="2" t="s">
        <v>313</v>
      </c>
      <c r="M53" s="2" t="s">
        <v>314</v>
      </c>
    </row>
    <row r="54" spans="1:13" x14ac:dyDescent="0.3">
      <c r="A54" s="29" t="s">
        <v>272</v>
      </c>
      <c r="B54" s="38">
        <v>1</v>
      </c>
      <c r="C54" s="38">
        <v>7</v>
      </c>
      <c r="D54" s="36">
        <v>4021.9637000160201</v>
      </c>
      <c r="E54" s="36">
        <v>3779.57466525461</v>
      </c>
      <c r="F54" s="49">
        <v>0.31909999999999999</v>
      </c>
      <c r="G54" s="49">
        <v>0.68089999999999995</v>
      </c>
      <c r="H54" s="49">
        <v>0.1053</v>
      </c>
      <c r="I54" s="31">
        <v>-3231975.5193479001</v>
      </c>
      <c r="J54" s="31">
        <v>-16606377.6941937</v>
      </c>
      <c r="K54" s="31">
        <v>10751068.3819406</v>
      </c>
      <c r="L54" s="31">
        <v>26402531.8545954</v>
      </c>
      <c r="M54" s="31">
        <v>26391498.042653501</v>
      </c>
    </row>
    <row r="55" spans="1:13" x14ac:dyDescent="0.3">
      <c r="A55" s="29" t="s">
        <v>272</v>
      </c>
      <c r="B55" s="38">
        <v>2</v>
      </c>
      <c r="C55" s="38">
        <v>8</v>
      </c>
      <c r="D55" s="36">
        <v>4086.36259373248</v>
      </c>
      <c r="E55" s="36">
        <v>3864.1681713354801</v>
      </c>
      <c r="F55" s="49">
        <v>0.32505000000000001</v>
      </c>
      <c r="G55" s="49">
        <v>0.67495000000000005</v>
      </c>
      <c r="H55" s="49">
        <v>0.1014</v>
      </c>
      <c r="I55" s="31">
        <v>-3318259.5858991998</v>
      </c>
      <c r="J55" s="31">
        <v>-17229592.118667901</v>
      </c>
      <c r="K55" s="31">
        <v>10877206.740656</v>
      </c>
      <c r="L55" s="31">
        <v>29417353.1802289</v>
      </c>
      <c r="M55" s="31">
        <v>29777189.4363419</v>
      </c>
    </row>
    <row r="56" spans="1:13" x14ac:dyDescent="0.3">
      <c r="A56" s="29" t="s">
        <v>272</v>
      </c>
      <c r="B56" s="38">
        <v>3</v>
      </c>
      <c r="C56" s="38">
        <v>9</v>
      </c>
      <c r="D56" s="36">
        <v>4177.8225514095602</v>
      </c>
      <c r="E56" s="36">
        <v>3931.7843605193898</v>
      </c>
      <c r="F56" s="49">
        <v>0.32890000000000003</v>
      </c>
      <c r="G56" s="49">
        <v>0.67110000000000003</v>
      </c>
      <c r="H56" s="49">
        <v>0.1094</v>
      </c>
      <c r="I56" s="31">
        <v>-3276399.3156931698</v>
      </c>
      <c r="J56" s="31">
        <v>-17751149.602848701</v>
      </c>
      <c r="K56" s="31">
        <v>11731469.2105678</v>
      </c>
      <c r="L56" s="31">
        <v>32510766.6311967</v>
      </c>
      <c r="M56" s="31">
        <v>32874159.731417801</v>
      </c>
    </row>
    <row r="57" spans="1:13" x14ac:dyDescent="0.3">
      <c r="A57" s="29" t="s">
        <v>272</v>
      </c>
      <c r="B57" s="38">
        <v>4</v>
      </c>
      <c r="C57" s="38">
        <v>10</v>
      </c>
      <c r="D57" s="36">
        <v>4250.9271440379098</v>
      </c>
      <c r="E57" s="36">
        <v>4017.1538108537602</v>
      </c>
      <c r="F57" s="49">
        <v>0.32800000000000001</v>
      </c>
      <c r="G57" s="49">
        <v>0.67200000000000004</v>
      </c>
      <c r="H57" s="49">
        <v>0.10675</v>
      </c>
      <c r="I57" s="31">
        <v>-3478463.9441901399</v>
      </c>
      <c r="J57" s="31">
        <v>-18822675.427884001</v>
      </c>
      <c r="K57" s="31">
        <v>11846723.2372084</v>
      </c>
      <c r="L57" s="31">
        <v>35528129.326962501</v>
      </c>
      <c r="M57" s="31">
        <v>36147091.845800303</v>
      </c>
    </row>
    <row r="58" spans="1:13" x14ac:dyDescent="0.3">
      <c r="A58" s="29" t="s">
        <v>315</v>
      </c>
      <c r="B58" s="38">
        <v>1</v>
      </c>
      <c r="C58" s="38">
        <v>7</v>
      </c>
      <c r="D58" s="36">
        <v>4022.845855174</v>
      </c>
      <c r="E58" s="36">
        <v>3799.5377656353098</v>
      </c>
      <c r="F58" s="49">
        <v>0.3276</v>
      </c>
      <c r="G58" s="49">
        <v>0.6724</v>
      </c>
      <c r="H58" s="49">
        <v>0.10185</v>
      </c>
      <c r="I58" s="31">
        <v>-3168174.2170428601</v>
      </c>
      <c r="J58" s="31">
        <v>-16644784.610157801</v>
      </c>
      <c r="K58" s="31">
        <v>10788571.9353696</v>
      </c>
      <c r="L58" s="31">
        <v>26372316.4156923</v>
      </c>
      <c r="M58" s="31">
        <v>26495144.5849704</v>
      </c>
    </row>
    <row r="59" spans="1:13" x14ac:dyDescent="0.3">
      <c r="A59" s="29" t="s">
        <v>315</v>
      </c>
      <c r="B59" s="38">
        <v>2</v>
      </c>
      <c r="C59" s="38">
        <v>8</v>
      </c>
      <c r="D59" s="36">
        <v>4107.9460981941102</v>
      </c>
      <c r="E59" s="36">
        <v>3875.9856122113101</v>
      </c>
      <c r="F59" s="49">
        <v>0.32295000000000001</v>
      </c>
      <c r="G59" s="49">
        <v>0.67705000000000004</v>
      </c>
      <c r="H59" s="49">
        <v>0.10535</v>
      </c>
      <c r="I59" s="31">
        <v>-3199210.6847492601</v>
      </c>
      <c r="J59" s="31">
        <v>-17085031.414723601</v>
      </c>
      <c r="K59" s="31">
        <v>11247280.2120251</v>
      </c>
      <c r="L59" s="31">
        <v>29500983.955294199</v>
      </c>
      <c r="M59" s="31">
        <v>29618907.324342102</v>
      </c>
    </row>
    <row r="60" spans="1:13" x14ac:dyDescent="0.3">
      <c r="A60" s="29" t="s">
        <v>315</v>
      </c>
      <c r="B60" s="38">
        <v>3</v>
      </c>
      <c r="C60" s="38">
        <v>9</v>
      </c>
      <c r="D60" s="36">
        <v>4190.5992135013503</v>
      </c>
      <c r="E60" s="36">
        <v>3940.8112244323202</v>
      </c>
      <c r="F60" s="49">
        <v>0.32490000000000002</v>
      </c>
      <c r="G60" s="49">
        <v>0.67510000000000003</v>
      </c>
      <c r="H60" s="49">
        <v>0.1043</v>
      </c>
      <c r="I60" s="31">
        <v>-3274643.8376923702</v>
      </c>
      <c r="J60" s="31">
        <v>-17950605.161463302</v>
      </c>
      <c r="K60" s="31">
        <v>11405228.582192499</v>
      </c>
      <c r="L60" s="31">
        <v>32634677.573283698</v>
      </c>
      <c r="M60" s="31">
        <v>33006067.549207699</v>
      </c>
    </row>
    <row r="61" spans="1:13" x14ac:dyDescent="0.3">
      <c r="A61" s="29" t="s">
        <v>315</v>
      </c>
      <c r="B61" s="38">
        <v>4</v>
      </c>
      <c r="C61" s="38">
        <v>10</v>
      </c>
      <c r="D61" s="36">
        <v>4260.6867181433199</v>
      </c>
      <c r="E61" s="36">
        <v>4036.3026758841102</v>
      </c>
      <c r="F61" s="49">
        <v>0.32235000000000003</v>
      </c>
      <c r="G61" s="49">
        <v>0.67764999999999997</v>
      </c>
      <c r="H61" s="49">
        <v>0.10290000000000001</v>
      </c>
      <c r="I61" s="31">
        <v>-3404450.7149882</v>
      </c>
      <c r="J61" s="31">
        <v>-18478055.239688899</v>
      </c>
      <c r="K61" s="31">
        <v>11807869.844735</v>
      </c>
      <c r="L61" s="31">
        <v>35770883.797058798</v>
      </c>
      <c r="M61" s="31">
        <v>36337188.495011501</v>
      </c>
    </row>
    <row r="63" spans="1:13" ht="15.6" x14ac:dyDescent="0.3">
      <c r="A63" s="12"/>
    </row>
    <row r="64" spans="1:13" ht="60" customHeight="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spans="1:13" ht="60" customHeigh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spans="1:13" ht="60" customHeight="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</sheetData>
  <mergeCells count="19">
    <mergeCell ref="A2:L2"/>
    <mergeCell ref="E36:J36"/>
    <mergeCell ref="E37:J37"/>
    <mergeCell ref="E38:J38"/>
    <mergeCell ref="E39:J39"/>
    <mergeCell ref="E40:J40"/>
    <mergeCell ref="E41:J41"/>
    <mergeCell ref="E42:J42"/>
    <mergeCell ref="E43:J43"/>
    <mergeCell ref="E44:J44"/>
    <mergeCell ref="E50:J50"/>
    <mergeCell ref="A64:M64"/>
    <mergeCell ref="A65:M65"/>
    <mergeCell ref="A66:M66"/>
    <mergeCell ref="E45:J45"/>
    <mergeCell ref="E46:J46"/>
    <mergeCell ref="E47:J47"/>
    <mergeCell ref="E48:J48"/>
    <mergeCell ref="E49:J4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9"/>
  <sheetViews>
    <sheetView zoomScaleNormal="100" workbookViewId="0">
      <pane xSplit="2" ySplit="7" topLeftCell="C55" activePane="bottomRight" state="frozen"/>
      <selection pane="topRight" activeCell="C1" sqref="C1"/>
      <selection pane="bottomLeft" activeCell="A8" sqref="A8"/>
      <selection pane="bottomRight" activeCell="C6" sqref="C6"/>
    </sheetView>
  </sheetViews>
  <sheetFormatPr baseColWidth="10" defaultColWidth="8.6640625" defaultRowHeight="14.4" x14ac:dyDescent="0.3"/>
  <cols>
    <col min="1" max="1" width="30" customWidth="1"/>
    <col min="2" max="3" width="20" customWidth="1"/>
    <col min="4" max="4" width="18" customWidth="1"/>
    <col min="5" max="12" width="19" customWidth="1"/>
    <col min="13" max="13" width="16" customWidth="1"/>
    <col min="14" max="14" width="19" customWidth="1"/>
    <col min="15" max="18" width="20" customWidth="1"/>
  </cols>
  <sheetData>
    <row r="1" spans="1:18" ht="17.399999999999999" x14ac:dyDescent="0.3">
      <c r="A1" s="13" t="s">
        <v>316</v>
      </c>
    </row>
    <row r="2" spans="1:18" ht="31.5" customHeight="1" x14ac:dyDescent="0.3">
      <c r="A2" s="69" t="s">
        <v>317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8" x14ac:dyDescent="0.3">
      <c r="A4" s="20" t="s">
        <v>251</v>
      </c>
      <c r="B4" s="72" t="s">
        <v>265</v>
      </c>
      <c r="C4" s="72"/>
      <c r="D4" s="72"/>
    </row>
    <row r="5" spans="1:18" x14ac:dyDescent="0.3">
      <c r="A5" s="20" t="s">
        <v>318</v>
      </c>
      <c r="B5" s="29">
        <f>MATCH(B4,'Trayectorias B'!$C$4:$I$4,0)</f>
        <v>2</v>
      </c>
    </row>
    <row r="7" spans="1:18" ht="54" customHeight="1" x14ac:dyDescent="0.3">
      <c r="A7" s="2" t="s">
        <v>69</v>
      </c>
      <c r="B7" s="2" t="s">
        <v>319</v>
      </c>
      <c r="C7" s="2" t="s">
        <v>320</v>
      </c>
      <c r="D7" s="2" t="s">
        <v>321</v>
      </c>
      <c r="E7" s="2" t="s">
        <v>322</v>
      </c>
      <c r="F7" s="2" t="s">
        <v>323</v>
      </c>
      <c r="G7" s="2" t="s">
        <v>324</v>
      </c>
      <c r="H7" s="2" t="s">
        <v>72</v>
      </c>
      <c r="I7" s="2" t="s">
        <v>325</v>
      </c>
      <c r="J7" s="2" t="s">
        <v>326</v>
      </c>
      <c r="K7" s="2" t="s">
        <v>252</v>
      </c>
      <c r="L7" s="2" t="s">
        <v>253</v>
      </c>
      <c r="M7" s="2" t="s">
        <v>166</v>
      </c>
      <c r="N7" s="2" t="s">
        <v>257</v>
      </c>
      <c r="O7" s="2" t="s">
        <v>327</v>
      </c>
      <c r="P7" s="2" t="s">
        <v>328</v>
      </c>
      <c r="Q7" s="2" t="s">
        <v>329</v>
      </c>
      <c r="R7" s="2" t="s">
        <v>330</v>
      </c>
    </row>
    <row r="8" spans="1:18" x14ac:dyDescent="0.3">
      <c r="A8" s="39">
        <v>0</v>
      </c>
      <c r="B8" s="56">
        <f>'Trayectorias TRM'!B5</f>
        <v>46313</v>
      </c>
      <c r="C8" s="31">
        <f>-Supuestos!$B$4</f>
        <v>-400000000</v>
      </c>
      <c r="D8" s="31">
        <f>Supuestos!$B$6</f>
        <v>40000000</v>
      </c>
      <c r="E8" s="18">
        <f>Supuestos!$B$9</f>
        <v>113397.61298024676</v>
      </c>
      <c r="F8" s="36">
        <f>INDEX('Trayectorias B'!$C$5:$I$45,1,$B$5)</f>
        <v>3174.67</v>
      </c>
      <c r="G8" s="31">
        <f t="shared" ref="G8:G48" si="0">E8*F8</f>
        <v>360000000</v>
      </c>
      <c r="H8" s="18">
        <v>0</v>
      </c>
      <c r="I8" s="31">
        <f t="shared" ref="I8:I48" si="1">H8*F8</f>
        <v>0</v>
      </c>
      <c r="J8" s="39" t="str">
        <f>IFERROR(MATCH(A8,'B Supuestos'!$D$20:$D$23,0),"")</f>
        <v/>
      </c>
      <c r="K8" s="36" t="str">
        <f>IF(J8="","",INDEX('Trayectorias B'!$C$5:$I$45,A8-3,$B$5))</f>
        <v/>
      </c>
      <c r="L8" s="36" t="str">
        <f>IF(J8="","",K8*(1+'B Supuestos'!$B$12))</f>
        <v/>
      </c>
      <c r="M8" s="18" t="str">
        <f>IF(J8="","",INDEX('B Supuestos'!$F$20:$F$23,J8))</f>
        <v/>
      </c>
      <c r="N8" s="31">
        <f t="shared" ref="N8:N48" si="2">IF(J8="",0,M8*(F8-L8))</f>
        <v>0</v>
      </c>
      <c r="O8" s="31">
        <f t="shared" ref="O8:O48" si="3">C8+D8+G8+I8</f>
        <v>0</v>
      </c>
      <c r="P8" s="31">
        <f t="shared" ref="P8:P48" si="4">O8+N8</f>
        <v>0</v>
      </c>
      <c r="Q8" s="31">
        <f t="shared" ref="Q8:Q48" si="5">G8+I8</f>
        <v>360000000</v>
      </c>
      <c r="R8" s="31">
        <f t="shared" ref="R8:R48" si="6">Q8+N8</f>
        <v>360000000</v>
      </c>
    </row>
    <row r="9" spans="1:18" x14ac:dyDescent="0.3">
      <c r="A9" s="39">
        <v>1</v>
      </c>
      <c r="B9" s="56">
        <f>'Trayectorias TRM'!B6</f>
        <v>46405</v>
      </c>
      <c r="C9" s="31">
        <v>0</v>
      </c>
      <c r="D9" s="31">
        <v>0</v>
      </c>
      <c r="E9" s="18">
        <v>0</v>
      </c>
      <c r="F9" s="36">
        <f>INDEX('Trayectorias B'!$C$5:$I$45,2,$B$5)</f>
        <v>3631.1782277699899</v>
      </c>
      <c r="G9" s="31">
        <f t="shared" si="0"/>
        <v>0</v>
      </c>
      <c r="H9" s="18">
        <f>-Amortización!D5</f>
        <v>-5106.0609171583947</v>
      </c>
      <c r="I9" s="31">
        <f t="shared" si="1"/>
        <v>-18541017.232052829</v>
      </c>
      <c r="J9" s="39" t="str">
        <f>IFERROR(MATCH(A9,'B Supuestos'!$D$20:$D$23,0),"")</f>
        <v/>
      </c>
      <c r="K9" s="36" t="str">
        <f>IF(J9="","",INDEX('Trayectorias B'!$C$5:$I$45,A9-3,$B$5))</f>
        <v/>
      </c>
      <c r="L9" s="36" t="str">
        <f>IF(J9="","",K9*(1+'B Supuestos'!$B$12))</f>
        <v/>
      </c>
      <c r="M9" s="18" t="str">
        <f>IF(J9="","",INDEX('B Supuestos'!$F$20:$F$23,J9))</f>
        <v/>
      </c>
      <c r="N9" s="31">
        <f t="shared" si="2"/>
        <v>0</v>
      </c>
      <c r="O9" s="31">
        <f t="shared" si="3"/>
        <v>-18541017.232052829</v>
      </c>
      <c r="P9" s="31">
        <f t="shared" si="4"/>
        <v>-18541017.232052829</v>
      </c>
      <c r="Q9" s="31">
        <f t="shared" si="5"/>
        <v>-18541017.232052829</v>
      </c>
      <c r="R9" s="31">
        <f t="shared" si="6"/>
        <v>-18541017.232052829</v>
      </c>
    </row>
    <row r="10" spans="1:18" x14ac:dyDescent="0.3">
      <c r="A10" s="39">
        <v>2</v>
      </c>
      <c r="B10" s="56">
        <f>'Trayectorias TRM'!B7</f>
        <v>46495</v>
      </c>
      <c r="C10" s="31">
        <v>0</v>
      </c>
      <c r="D10" s="31">
        <v>0</v>
      </c>
      <c r="E10" s="18">
        <v>0</v>
      </c>
      <c r="F10" s="36">
        <f>INDEX('Trayectorias B'!$C$5:$I$45,3,$B$5)</f>
        <v>3900.2509455684599</v>
      </c>
      <c r="G10" s="31">
        <f t="shared" si="0"/>
        <v>0</v>
      </c>
      <c r="H10" s="18">
        <f>-Amortización!D6</f>
        <v>-5106.0609171583947</v>
      </c>
      <c r="I10" s="31">
        <f t="shared" si="1"/>
        <v>-19914918.920277186</v>
      </c>
      <c r="J10" s="39" t="str">
        <f>IFERROR(MATCH(A10,'B Supuestos'!$D$20:$D$23,0),"")</f>
        <v/>
      </c>
      <c r="K10" s="36" t="str">
        <f>IF(J10="","",INDEX('Trayectorias B'!$C$5:$I$45,A10-3,$B$5))</f>
        <v/>
      </c>
      <c r="L10" s="36" t="str">
        <f>IF(J10="","",K10*(1+'B Supuestos'!$B$12))</f>
        <v/>
      </c>
      <c r="M10" s="18" t="str">
        <f>IF(J10="","",INDEX('B Supuestos'!$F$20:$F$23,J10))</f>
        <v/>
      </c>
      <c r="N10" s="31">
        <f t="shared" si="2"/>
        <v>0</v>
      </c>
      <c r="O10" s="31">
        <f t="shared" si="3"/>
        <v>-19914918.920277186</v>
      </c>
      <c r="P10" s="31">
        <f t="shared" si="4"/>
        <v>-19914918.920277186</v>
      </c>
      <c r="Q10" s="31">
        <f t="shared" si="5"/>
        <v>-19914918.920277186</v>
      </c>
      <c r="R10" s="31">
        <f t="shared" si="6"/>
        <v>-19914918.920277186</v>
      </c>
    </row>
    <row r="11" spans="1:18" x14ac:dyDescent="0.3">
      <c r="A11" s="39">
        <v>3</v>
      </c>
      <c r="B11" s="56">
        <f>'Trayectorias TRM'!B8</f>
        <v>46586</v>
      </c>
      <c r="C11" s="31">
        <v>0</v>
      </c>
      <c r="D11" s="31">
        <v>0</v>
      </c>
      <c r="E11" s="18">
        <v>0</v>
      </c>
      <c r="F11" s="36">
        <f>INDEX('Trayectorias B'!$C$5:$I$45,4,$B$5)</f>
        <v>3706.7000975764599</v>
      </c>
      <c r="G11" s="31">
        <f t="shared" si="0"/>
        <v>0</v>
      </c>
      <c r="H11" s="18">
        <f>-Amortización!D7</f>
        <v>-5106.0609171583947</v>
      </c>
      <c r="I11" s="31">
        <f t="shared" si="1"/>
        <v>-18926636.499862369</v>
      </c>
      <c r="J11" s="39" t="str">
        <f>IFERROR(MATCH(A11,'B Supuestos'!$D$20:$D$23,0),"")</f>
        <v/>
      </c>
      <c r="K11" s="36" t="str">
        <f>IF(J11="","",INDEX('Trayectorias B'!$C$5:$I$45,A11-3,$B$5))</f>
        <v/>
      </c>
      <c r="L11" s="36" t="str">
        <f>IF(J11="","",K11*(1+'B Supuestos'!$B$12))</f>
        <v/>
      </c>
      <c r="M11" s="18" t="str">
        <f>IF(J11="","",INDEX('B Supuestos'!$F$20:$F$23,J11))</f>
        <v/>
      </c>
      <c r="N11" s="31">
        <f t="shared" si="2"/>
        <v>0</v>
      </c>
      <c r="O11" s="31">
        <f t="shared" si="3"/>
        <v>-18926636.499862369</v>
      </c>
      <c r="P11" s="31">
        <f t="shared" si="4"/>
        <v>-18926636.499862369</v>
      </c>
      <c r="Q11" s="31">
        <f t="shared" si="5"/>
        <v>-18926636.499862369</v>
      </c>
      <c r="R11" s="31">
        <f t="shared" si="6"/>
        <v>-18926636.499862369</v>
      </c>
    </row>
    <row r="12" spans="1:18" x14ac:dyDescent="0.3">
      <c r="A12" s="39">
        <v>4</v>
      </c>
      <c r="B12" s="56">
        <f>'Trayectorias TRM'!B9</f>
        <v>46678</v>
      </c>
      <c r="C12" s="31">
        <v>0</v>
      </c>
      <c r="D12" s="31">
        <v>0</v>
      </c>
      <c r="E12" s="18">
        <v>0</v>
      </c>
      <c r="F12" s="36">
        <f>INDEX('Trayectorias B'!$C$5:$I$45,5,$B$5)</f>
        <v>3594.93255310109</v>
      </c>
      <c r="G12" s="31">
        <f t="shared" si="0"/>
        <v>0</v>
      </c>
      <c r="H12" s="18">
        <f>-Amortización!D8</f>
        <v>-5106.0609171583947</v>
      </c>
      <c r="I12" s="31">
        <f t="shared" si="1"/>
        <v>-18355944.609209921</v>
      </c>
      <c r="J12" s="39" t="str">
        <f>IFERROR(MATCH(A12,'B Supuestos'!$D$20:$D$23,0),"")</f>
        <v/>
      </c>
      <c r="K12" s="36" t="str">
        <f>IF(J12="","",INDEX('Trayectorias B'!$C$5:$I$45,A12-3,$B$5))</f>
        <v/>
      </c>
      <c r="L12" s="36" t="str">
        <f>IF(J12="","",K12*(1+'B Supuestos'!$B$12))</f>
        <v/>
      </c>
      <c r="M12" s="18" t="str">
        <f>IF(J12="","",INDEX('B Supuestos'!$F$20:$F$23,J12))</f>
        <v/>
      </c>
      <c r="N12" s="31">
        <f t="shared" si="2"/>
        <v>0</v>
      </c>
      <c r="O12" s="31">
        <f t="shared" si="3"/>
        <v>-18355944.609209921</v>
      </c>
      <c r="P12" s="31">
        <f t="shared" si="4"/>
        <v>-18355944.609209921</v>
      </c>
      <c r="Q12" s="31">
        <f t="shared" si="5"/>
        <v>-18355944.609209921</v>
      </c>
      <c r="R12" s="31">
        <f t="shared" si="6"/>
        <v>-18355944.609209921</v>
      </c>
    </row>
    <row r="13" spans="1:18" x14ac:dyDescent="0.3">
      <c r="A13" s="39">
        <v>5</v>
      </c>
      <c r="B13" s="56">
        <f>'Trayectorias TRM'!B10</f>
        <v>46770</v>
      </c>
      <c r="C13" s="31">
        <v>0</v>
      </c>
      <c r="D13" s="31">
        <v>0</v>
      </c>
      <c r="E13" s="18">
        <v>0</v>
      </c>
      <c r="F13" s="36">
        <f>INDEX('Trayectorias B'!$C$5:$I$45,6,$B$5)</f>
        <v>3470.9255363557199</v>
      </c>
      <c r="G13" s="31">
        <f t="shared" si="0"/>
        <v>0</v>
      </c>
      <c r="H13" s="18">
        <f>-Amortización!D9</f>
        <v>-5106.0609171583947</v>
      </c>
      <c r="I13" s="31">
        <f t="shared" si="1"/>
        <v>-17722757.22755298</v>
      </c>
      <c r="J13" s="39" t="str">
        <f>IFERROR(MATCH(A13,'B Supuestos'!$D$20:$D$23,0),"")</f>
        <v/>
      </c>
      <c r="K13" s="36" t="str">
        <f>IF(J13="","",INDEX('Trayectorias B'!$C$5:$I$45,A13-3,$B$5))</f>
        <v/>
      </c>
      <c r="L13" s="36" t="str">
        <f>IF(J13="","",K13*(1+'B Supuestos'!$B$12))</f>
        <v/>
      </c>
      <c r="M13" s="18" t="str">
        <f>IF(J13="","",INDEX('B Supuestos'!$F$20:$F$23,J13))</f>
        <v/>
      </c>
      <c r="N13" s="31">
        <f t="shared" si="2"/>
        <v>0</v>
      </c>
      <c r="O13" s="31">
        <f t="shared" si="3"/>
        <v>-17722757.22755298</v>
      </c>
      <c r="P13" s="31">
        <f t="shared" si="4"/>
        <v>-17722757.22755298</v>
      </c>
      <c r="Q13" s="31">
        <f t="shared" si="5"/>
        <v>-17722757.22755298</v>
      </c>
      <c r="R13" s="31">
        <f t="shared" si="6"/>
        <v>-17722757.22755298</v>
      </c>
    </row>
    <row r="14" spans="1:18" x14ac:dyDescent="0.3">
      <c r="A14" s="39">
        <v>6</v>
      </c>
      <c r="B14" s="56">
        <f>'Trayectorias TRM'!B11</f>
        <v>46861</v>
      </c>
      <c r="C14" s="31">
        <v>0</v>
      </c>
      <c r="D14" s="31">
        <v>0</v>
      </c>
      <c r="E14" s="18">
        <v>0</v>
      </c>
      <c r="F14" s="36">
        <f>INDEX('Trayectorias B'!$C$5:$I$45,7,$B$5)</f>
        <v>3226.1467630430802</v>
      </c>
      <c r="G14" s="31">
        <f t="shared" si="0"/>
        <v>0</v>
      </c>
      <c r="H14" s="18">
        <f>-Amortización!D10</f>
        <v>-5106.0609171583947</v>
      </c>
      <c r="I14" s="31">
        <f t="shared" si="1"/>
        <v>-16472901.899791336</v>
      </c>
      <c r="J14" s="39" t="str">
        <f>IFERROR(MATCH(A14,'B Supuestos'!$D$20:$D$23,0),"")</f>
        <v/>
      </c>
      <c r="K14" s="36" t="str">
        <f>IF(J14="","",INDEX('Trayectorias B'!$C$5:$I$45,A14-3,$B$5))</f>
        <v/>
      </c>
      <c r="L14" s="36" t="str">
        <f>IF(J14="","",K14*(1+'B Supuestos'!$B$12))</f>
        <v/>
      </c>
      <c r="M14" s="18" t="str">
        <f>IF(J14="","",INDEX('B Supuestos'!$F$20:$F$23,J14))</f>
        <v/>
      </c>
      <c r="N14" s="31">
        <f t="shared" si="2"/>
        <v>0</v>
      </c>
      <c r="O14" s="31">
        <f t="shared" si="3"/>
        <v>-16472901.899791336</v>
      </c>
      <c r="P14" s="31">
        <f t="shared" si="4"/>
        <v>-16472901.899791336</v>
      </c>
      <c r="Q14" s="31">
        <f t="shared" si="5"/>
        <v>-16472901.899791336</v>
      </c>
      <c r="R14" s="31">
        <f t="shared" si="6"/>
        <v>-16472901.899791336</v>
      </c>
    </row>
    <row r="15" spans="1:18" x14ac:dyDescent="0.3">
      <c r="A15" s="39">
        <v>7</v>
      </c>
      <c r="B15" s="56">
        <f>'Trayectorias TRM'!B12</f>
        <v>46952</v>
      </c>
      <c r="C15" s="31">
        <v>0</v>
      </c>
      <c r="D15" s="31">
        <v>0</v>
      </c>
      <c r="E15" s="18">
        <v>0</v>
      </c>
      <c r="F15" s="36">
        <f>INDEX('Trayectorias B'!$C$5:$I$45,8,$B$5)</f>
        <v>3390.11056283072</v>
      </c>
      <c r="G15" s="31">
        <f t="shared" si="0"/>
        <v>0</v>
      </c>
      <c r="H15" s="18">
        <f>-Amortización!D11</f>
        <v>-5106.0609171583947</v>
      </c>
      <c r="I15" s="31">
        <f t="shared" si="1"/>
        <v>-17310111.049715787</v>
      </c>
      <c r="J15" s="39" t="str">
        <f>IFERROR(MATCH(A15,'B Supuestos'!$D$20:$D$23,0),"")</f>
        <v/>
      </c>
      <c r="K15" s="36" t="str">
        <f>IF(J15="","",INDEX('Trayectorias B'!$C$5:$I$45,A15-3,$B$5))</f>
        <v/>
      </c>
      <c r="L15" s="36" t="str">
        <f>IF(J15="","",K15*(1+'B Supuestos'!$B$12))</f>
        <v/>
      </c>
      <c r="M15" s="18" t="str">
        <f>IF(J15="","",INDEX('B Supuestos'!$F$20:$F$23,J15))</f>
        <v/>
      </c>
      <c r="N15" s="31">
        <f t="shared" si="2"/>
        <v>0</v>
      </c>
      <c r="O15" s="31">
        <f t="shared" si="3"/>
        <v>-17310111.049715787</v>
      </c>
      <c r="P15" s="31">
        <f t="shared" si="4"/>
        <v>-17310111.049715787</v>
      </c>
      <c r="Q15" s="31">
        <f t="shared" si="5"/>
        <v>-17310111.049715787</v>
      </c>
      <c r="R15" s="31">
        <f t="shared" si="6"/>
        <v>-17310111.049715787</v>
      </c>
    </row>
    <row r="16" spans="1:18" x14ac:dyDescent="0.3">
      <c r="A16" s="39">
        <v>8</v>
      </c>
      <c r="B16" s="56">
        <f>'Trayectorias TRM'!B13</f>
        <v>47044</v>
      </c>
      <c r="C16" s="31">
        <v>0</v>
      </c>
      <c r="D16" s="31">
        <v>0</v>
      </c>
      <c r="E16" s="18">
        <v>0</v>
      </c>
      <c r="F16" s="36">
        <f>INDEX('Trayectorias B'!$C$5:$I$45,9,$B$5)</f>
        <v>3289.9541214384599</v>
      </c>
      <c r="G16" s="31">
        <f t="shared" si="0"/>
        <v>0</v>
      </c>
      <c r="H16" s="18">
        <f>-Amortización!D12</f>
        <v>-5106.0609171583947</v>
      </c>
      <c r="I16" s="31">
        <f t="shared" si="1"/>
        <v>-16798706.158721104</v>
      </c>
      <c r="J16" s="39" t="str">
        <f>IFERROR(MATCH(A16,'B Supuestos'!$D$20:$D$23,0),"")</f>
        <v/>
      </c>
      <c r="K16" s="36" t="str">
        <f>IF(J16="","",INDEX('Trayectorias B'!$C$5:$I$45,A16-3,$B$5))</f>
        <v/>
      </c>
      <c r="L16" s="36" t="str">
        <f>IF(J16="","",K16*(1+'B Supuestos'!$B$12))</f>
        <v/>
      </c>
      <c r="M16" s="18" t="str">
        <f>IF(J16="","",INDEX('B Supuestos'!$F$20:$F$23,J16))</f>
        <v/>
      </c>
      <c r="N16" s="31">
        <f t="shared" si="2"/>
        <v>0</v>
      </c>
      <c r="O16" s="31">
        <f t="shared" si="3"/>
        <v>-16798706.158721104</v>
      </c>
      <c r="P16" s="31">
        <f t="shared" si="4"/>
        <v>-16798706.158721104</v>
      </c>
      <c r="Q16" s="31">
        <f t="shared" si="5"/>
        <v>-16798706.158721104</v>
      </c>
      <c r="R16" s="31">
        <f t="shared" si="6"/>
        <v>-16798706.158721104</v>
      </c>
    </row>
    <row r="17" spans="1:18" x14ac:dyDescent="0.3">
      <c r="A17" s="39">
        <v>9</v>
      </c>
      <c r="B17" s="56">
        <f>'Trayectorias TRM'!B14</f>
        <v>47136</v>
      </c>
      <c r="C17" s="31">
        <v>0</v>
      </c>
      <c r="D17" s="31">
        <v>0</v>
      </c>
      <c r="E17" s="18">
        <v>0</v>
      </c>
      <c r="F17" s="36">
        <f>INDEX('Trayectorias B'!$C$5:$I$45,10,$B$5)</f>
        <v>3263.53508437858</v>
      </c>
      <c r="G17" s="31">
        <f t="shared" si="0"/>
        <v>0</v>
      </c>
      <c r="H17" s="18">
        <f>-Amortización!D13</f>
        <v>-5106.0609171583947</v>
      </c>
      <c r="I17" s="31">
        <f t="shared" si="1"/>
        <v>-16663808.946120691</v>
      </c>
      <c r="J17" s="39" t="str">
        <f>IFERROR(MATCH(A17,'B Supuestos'!$D$20:$D$23,0),"")</f>
        <v/>
      </c>
      <c r="K17" s="36" t="str">
        <f>IF(J17="","",INDEX('Trayectorias B'!$C$5:$I$45,A17-3,$B$5))</f>
        <v/>
      </c>
      <c r="L17" s="36" t="str">
        <f>IF(J17="","",K17*(1+'B Supuestos'!$B$12))</f>
        <v/>
      </c>
      <c r="M17" s="18" t="str">
        <f>IF(J17="","",INDEX('B Supuestos'!$F$20:$F$23,J17))</f>
        <v/>
      </c>
      <c r="N17" s="31">
        <f t="shared" si="2"/>
        <v>0</v>
      </c>
      <c r="O17" s="31">
        <f t="shared" si="3"/>
        <v>-16663808.946120691</v>
      </c>
      <c r="P17" s="31">
        <f t="shared" si="4"/>
        <v>-16663808.946120691</v>
      </c>
      <c r="Q17" s="31">
        <f t="shared" si="5"/>
        <v>-16663808.946120691</v>
      </c>
      <c r="R17" s="31">
        <f t="shared" si="6"/>
        <v>-16663808.946120691</v>
      </c>
    </row>
    <row r="18" spans="1:18" x14ac:dyDescent="0.3">
      <c r="A18" s="39">
        <v>10</v>
      </c>
      <c r="B18" s="56">
        <f>'Trayectorias TRM'!B15</f>
        <v>47226</v>
      </c>
      <c r="C18" s="31">
        <v>0</v>
      </c>
      <c r="D18" s="31">
        <v>0</v>
      </c>
      <c r="E18" s="18">
        <v>0</v>
      </c>
      <c r="F18" s="36">
        <f>INDEX('Trayectorias B'!$C$5:$I$45,11,$B$5)</f>
        <v>3466.01939178163</v>
      </c>
      <c r="G18" s="31">
        <f t="shared" si="0"/>
        <v>0</v>
      </c>
      <c r="H18" s="18">
        <f>-Amortización!D14</f>
        <v>-5106.0609171583947</v>
      </c>
      <c r="I18" s="31">
        <f t="shared" si="1"/>
        <v>-17697706.15448929</v>
      </c>
      <c r="J18" s="39" t="str">
        <f>IFERROR(MATCH(A18,'B Supuestos'!$D$20:$D$23,0),"")</f>
        <v/>
      </c>
      <c r="K18" s="36" t="str">
        <f>IF(J18="","",INDEX('Trayectorias B'!$C$5:$I$45,A18-3,$B$5))</f>
        <v/>
      </c>
      <c r="L18" s="36" t="str">
        <f>IF(J18="","",K18*(1+'B Supuestos'!$B$12))</f>
        <v/>
      </c>
      <c r="M18" s="18" t="str">
        <f>IF(J18="","",INDEX('B Supuestos'!$F$20:$F$23,J18))</f>
        <v/>
      </c>
      <c r="N18" s="31">
        <f t="shared" si="2"/>
        <v>0</v>
      </c>
      <c r="O18" s="31">
        <f t="shared" si="3"/>
        <v>-17697706.15448929</v>
      </c>
      <c r="P18" s="31">
        <f t="shared" si="4"/>
        <v>-17697706.15448929</v>
      </c>
      <c r="Q18" s="31">
        <f t="shared" si="5"/>
        <v>-17697706.15448929</v>
      </c>
      <c r="R18" s="31">
        <f t="shared" si="6"/>
        <v>-17697706.15448929</v>
      </c>
    </row>
    <row r="19" spans="1:18" x14ac:dyDescent="0.3">
      <c r="A19" s="39">
        <v>11</v>
      </c>
      <c r="B19" s="56">
        <f>'Trayectorias TRM'!B16</f>
        <v>47317</v>
      </c>
      <c r="C19" s="31">
        <v>0</v>
      </c>
      <c r="D19" s="31">
        <v>0</v>
      </c>
      <c r="E19" s="18">
        <v>0</v>
      </c>
      <c r="F19" s="36">
        <f>INDEX('Trayectorias B'!$C$5:$I$45,12,$B$5)</f>
        <v>3381.8500196413902</v>
      </c>
      <c r="G19" s="31">
        <f t="shared" si="0"/>
        <v>0</v>
      </c>
      <c r="H19" s="18">
        <f>-Amortización!D15</f>
        <v>-5106.0609171583947</v>
      </c>
      <c r="I19" s="31">
        <f t="shared" si="1"/>
        <v>-17267932.212982252</v>
      </c>
      <c r="J19" s="39" t="str">
        <f>IFERROR(MATCH(A19,'B Supuestos'!$D$20:$D$23,0),"")</f>
        <v/>
      </c>
      <c r="K19" s="36" t="str">
        <f>IF(J19="","",INDEX('Trayectorias B'!$C$5:$I$45,A19-3,$B$5))</f>
        <v/>
      </c>
      <c r="L19" s="36" t="str">
        <f>IF(J19="","",K19*(1+'B Supuestos'!$B$12))</f>
        <v/>
      </c>
      <c r="M19" s="18" t="str">
        <f>IF(J19="","",INDEX('B Supuestos'!$F$20:$F$23,J19))</f>
        <v/>
      </c>
      <c r="N19" s="31">
        <f t="shared" si="2"/>
        <v>0</v>
      </c>
      <c r="O19" s="31">
        <f t="shared" si="3"/>
        <v>-17267932.212982252</v>
      </c>
      <c r="P19" s="31">
        <f t="shared" si="4"/>
        <v>-17267932.212982252</v>
      </c>
      <c r="Q19" s="31">
        <f t="shared" si="5"/>
        <v>-17267932.212982252</v>
      </c>
      <c r="R19" s="31">
        <f t="shared" si="6"/>
        <v>-17267932.212982252</v>
      </c>
    </row>
    <row r="20" spans="1:18" x14ac:dyDescent="0.3">
      <c r="A20" s="39">
        <v>12</v>
      </c>
      <c r="B20" s="56">
        <f>'Trayectorias TRM'!B17</f>
        <v>47409</v>
      </c>
      <c r="C20" s="31">
        <v>0</v>
      </c>
      <c r="D20" s="31">
        <v>0</v>
      </c>
      <c r="E20" s="18">
        <v>0</v>
      </c>
      <c r="F20" s="36">
        <f>INDEX('Trayectorias B'!$C$5:$I$45,13,$B$5)</f>
        <v>3567.1391930167401</v>
      </c>
      <c r="G20" s="31">
        <f t="shared" si="0"/>
        <v>0</v>
      </c>
      <c r="H20" s="18">
        <f>-Amortización!D16</f>
        <v>-5106.0609171583947</v>
      </c>
      <c r="I20" s="31">
        <f t="shared" si="1"/>
        <v>-18214030.019526713</v>
      </c>
      <c r="J20" s="39" t="str">
        <f>IFERROR(MATCH(A20,'B Supuestos'!$D$20:$D$23,0),"")</f>
        <v/>
      </c>
      <c r="K20" s="36" t="str">
        <f>IF(J20="","",INDEX('Trayectorias B'!$C$5:$I$45,A20-3,$B$5))</f>
        <v/>
      </c>
      <c r="L20" s="36" t="str">
        <f>IF(J20="","",K20*(1+'B Supuestos'!$B$12))</f>
        <v/>
      </c>
      <c r="M20" s="18" t="str">
        <f>IF(J20="","",INDEX('B Supuestos'!$F$20:$F$23,J20))</f>
        <v/>
      </c>
      <c r="N20" s="31">
        <f t="shared" si="2"/>
        <v>0</v>
      </c>
      <c r="O20" s="31">
        <f t="shared" si="3"/>
        <v>-18214030.019526713</v>
      </c>
      <c r="P20" s="31">
        <f t="shared" si="4"/>
        <v>-18214030.019526713</v>
      </c>
      <c r="Q20" s="31">
        <f t="shared" si="5"/>
        <v>-18214030.019526713</v>
      </c>
      <c r="R20" s="31">
        <f t="shared" si="6"/>
        <v>-18214030.019526713</v>
      </c>
    </row>
    <row r="21" spans="1:18" x14ac:dyDescent="0.3">
      <c r="A21" s="39">
        <v>13</v>
      </c>
      <c r="B21" s="56">
        <f>'Trayectorias TRM'!B18</f>
        <v>47501</v>
      </c>
      <c r="C21" s="31">
        <v>0</v>
      </c>
      <c r="D21" s="31">
        <v>0</v>
      </c>
      <c r="E21" s="18">
        <v>0</v>
      </c>
      <c r="F21" s="36">
        <f>INDEX('Trayectorias B'!$C$5:$I$45,14,$B$5)</f>
        <v>3880.8069716829</v>
      </c>
      <c r="G21" s="31">
        <f t="shared" si="0"/>
        <v>0</v>
      </c>
      <c r="H21" s="18">
        <f>-Amortización!D17</f>
        <v>-5106.0609171583947</v>
      </c>
      <c r="I21" s="31">
        <f t="shared" si="1"/>
        <v>-19815636.805145882</v>
      </c>
      <c r="J21" s="39" t="str">
        <f>IFERROR(MATCH(A21,'B Supuestos'!$D$20:$D$23,0),"")</f>
        <v/>
      </c>
      <c r="K21" s="36" t="str">
        <f>IF(J21="","",INDEX('Trayectorias B'!$C$5:$I$45,A21-3,$B$5))</f>
        <v/>
      </c>
      <c r="L21" s="36" t="str">
        <f>IF(J21="","",K21*(1+'B Supuestos'!$B$12))</f>
        <v/>
      </c>
      <c r="M21" s="18" t="str">
        <f>IF(J21="","",INDEX('B Supuestos'!$F$20:$F$23,J21))</f>
        <v/>
      </c>
      <c r="N21" s="31">
        <f t="shared" si="2"/>
        <v>0</v>
      </c>
      <c r="O21" s="31">
        <f t="shared" si="3"/>
        <v>-19815636.805145882</v>
      </c>
      <c r="P21" s="31">
        <f t="shared" si="4"/>
        <v>-19815636.805145882</v>
      </c>
      <c r="Q21" s="31">
        <f t="shared" si="5"/>
        <v>-19815636.805145882</v>
      </c>
      <c r="R21" s="31">
        <f t="shared" si="6"/>
        <v>-19815636.805145882</v>
      </c>
    </row>
    <row r="22" spans="1:18" x14ac:dyDescent="0.3">
      <c r="A22" s="39">
        <v>14</v>
      </c>
      <c r="B22" s="56">
        <f>'Trayectorias TRM'!B19</f>
        <v>47591</v>
      </c>
      <c r="C22" s="31">
        <v>0</v>
      </c>
      <c r="D22" s="31">
        <v>0</v>
      </c>
      <c r="E22" s="18">
        <v>0</v>
      </c>
      <c r="F22" s="36">
        <f>INDEX('Trayectorias B'!$C$5:$I$45,15,$B$5)</f>
        <v>3994.7046358707798</v>
      </c>
      <c r="G22" s="31">
        <f t="shared" si="0"/>
        <v>0</v>
      </c>
      <c r="H22" s="18">
        <f>-Amortización!D18</f>
        <v>-5106.0609171583947</v>
      </c>
      <c r="I22" s="31">
        <f t="shared" si="1"/>
        <v>-20397205.216811243</v>
      </c>
      <c r="J22" s="39" t="str">
        <f>IFERROR(MATCH(A22,'B Supuestos'!$D$20:$D$23,0),"")</f>
        <v/>
      </c>
      <c r="K22" s="36" t="str">
        <f>IF(J22="","",INDEX('Trayectorias B'!$C$5:$I$45,A22-3,$B$5))</f>
        <v/>
      </c>
      <c r="L22" s="36" t="str">
        <f>IF(J22="","",K22*(1+'B Supuestos'!$B$12))</f>
        <v/>
      </c>
      <c r="M22" s="18" t="str">
        <f>IF(J22="","",INDEX('B Supuestos'!$F$20:$F$23,J22))</f>
        <v/>
      </c>
      <c r="N22" s="31">
        <f t="shared" si="2"/>
        <v>0</v>
      </c>
      <c r="O22" s="31">
        <f t="shared" si="3"/>
        <v>-20397205.216811243</v>
      </c>
      <c r="P22" s="31">
        <f t="shared" si="4"/>
        <v>-20397205.216811243</v>
      </c>
      <c r="Q22" s="31">
        <f t="shared" si="5"/>
        <v>-20397205.216811243</v>
      </c>
      <c r="R22" s="31">
        <f t="shared" si="6"/>
        <v>-20397205.216811243</v>
      </c>
    </row>
    <row r="23" spans="1:18" x14ac:dyDescent="0.3">
      <c r="A23" s="39">
        <v>15</v>
      </c>
      <c r="B23" s="56">
        <f>'Trayectorias TRM'!B20</f>
        <v>47682</v>
      </c>
      <c r="C23" s="31">
        <v>0</v>
      </c>
      <c r="D23" s="31">
        <v>0</v>
      </c>
      <c r="E23" s="18">
        <v>0</v>
      </c>
      <c r="F23" s="36">
        <f>INDEX('Trayectorias B'!$C$5:$I$45,16,$B$5)</f>
        <v>3918.5697226174402</v>
      </c>
      <c r="G23" s="31">
        <f t="shared" si="0"/>
        <v>0</v>
      </c>
      <c r="H23" s="18">
        <f>-Amortización!D19</f>
        <v>-5106.0609171583947</v>
      </c>
      <c r="I23" s="31">
        <f t="shared" si="1"/>
        <v>-20008455.711817123</v>
      </c>
      <c r="J23" s="39" t="str">
        <f>IFERROR(MATCH(A23,'B Supuestos'!$D$20:$D$23,0),"")</f>
        <v/>
      </c>
      <c r="K23" s="36" t="str">
        <f>IF(J23="","",INDEX('Trayectorias B'!$C$5:$I$45,A23-3,$B$5))</f>
        <v/>
      </c>
      <c r="L23" s="36" t="str">
        <f>IF(J23="","",K23*(1+'B Supuestos'!$B$12))</f>
        <v/>
      </c>
      <c r="M23" s="18" t="str">
        <f>IF(J23="","",INDEX('B Supuestos'!$F$20:$F$23,J23))</f>
        <v/>
      </c>
      <c r="N23" s="31">
        <f t="shared" si="2"/>
        <v>0</v>
      </c>
      <c r="O23" s="31">
        <f t="shared" si="3"/>
        <v>-20008455.711817123</v>
      </c>
      <c r="P23" s="31">
        <f t="shared" si="4"/>
        <v>-20008455.711817123</v>
      </c>
      <c r="Q23" s="31">
        <f t="shared" si="5"/>
        <v>-20008455.711817123</v>
      </c>
      <c r="R23" s="31">
        <f t="shared" si="6"/>
        <v>-20008455.711817123</v>
      </c>
    </row>
    <row r="24" spans="1:18" x14ac:dyDescent="0.3">
      <c r="A24" s="39">
        <v>16</v>
      </c>
      <c r="B24" s="56">
        <f>'Trayectorias TRM'!B21</f>
        <v>47774</v>
      </c>
      <c r="C24" s="31">
        <v>0</v>
      </c>
      <c r="D24" s="31">
        <v>0</v>
      </c>
      <c r="E24" s="18">
        <v>0</v>
      </c>
      <c r="F24" s="36">
        <f>INDEX('Trayectorias B'!$C$5:$I$45,17,$B$5)</f>
        <v>3629.49638636397</v>
      </c>
      <c r="G24" s="31">
        <f t="shared" si="0"/>
        <v>0</v>
      </c>
      <c r="H24" s="18">
        <f>-Amortización!D20</f>
        <v>-5106.0609171583947</v>
      </c>
      <c r="I24" s="31">
        <f t="shared" si="1"/>
        <v>-18532429.647380691</v>
      </c>
      <c r="J24" s="39" t="str">
        <f>IFERROR(MATCH(A24,'B Supuestos'!$D$20:$D$23,0),"")</f>
        <v/>
      </c>
      <c r="K24" s="36" t="str">
        <f>IF(J24="","",INDEX('Trayectorias B'!$C$5:$I$45,A24-3,$B$5))</f>
        <v/>
      </c>
      <c r="L24" s="36" t="str">
        <f>IF(J24="","",K24*(1+'B Supuestos'!$B$12))</f>
        <v/>
      </c>
      <c r="M24" s="18" t="str">
        <f>IF(J24="","",INDEX('B Supuestos'!$F$20:$F$23,J24))</f>
        <v/>
      </c>
      <c r="N24" s="31">
        <f t="shared" si="2"/>
        <v>0</v>
      </c>
      <c r="O24" s="31">
        <f t="shared" si="3"/>
        <v>-18532429.647380691</v>
      </c>
      <c r="P24" s="31">
        <f t="shared" si="4"/>
        <v>-18532429.647380691</v>
      </c>
      <c r="Q24" s="31">
        <f t="shared" si="5"/>
        <v>-18532429.647380691</v>
      </c>
      <c r="R24" s="31">
        <f t="shared" si="6"/>
        <v>-18532429.647380691</v>
      </c>
    </row>
    <row r="25" spans="1:18" x14ac:dyDescent="0.3">
      <c r="A25" s="39">
        <v>17</v>
      </c>
      <c r="B25" s="56">
        <f>'Trayectorias TRM'!B22</f>
        <v>47866</v>
      </c>
      <c r="C25" s="31">
        <v>0</v>
      </c>
      <c r="D25" s="31">
        <v>0</v>
      </c>
      <c r="E25" s="18">
        <v>0</v>
      </c>
      <c r="F25" s="36">
        <f>INDEX('Trayectorias B'!$C$5:$I$45,18,$B$5)</f>
        <v>3663.74200289703</v>
      </c>
      <c r="G25" s="31">
        <f t="shared" si="0"/>
        <v>0</v>
      </c>
      <c r="H25" s="18">
        <f>-Amortización!D21</f>
        <v>-5106.0609171583947</v>
      </c>
      <c r="I25" s="31">
        <f t="shared" si="1"/>
        <v>-18707289.851544142</v>
      </c>
      <c r="J25" s="39" t="str">
        <f>IFERROR(MATCH(A25,'B Supuestos'!$D$20:$D$23,0),"")</f>
        <v/>
      </c>
      <c r="K25" s="36" t="str">
        <f>IF(J25="","",INDEX('Trayectorias B'!$C$5:$I$45,A25-3,$B$5))</f>
        <v/>
      </c>
      <c r="L25" s="36" t="str">
        <f>IF(J25="","",K25*(1+'B Supuestos'!$B$12))</f>
        <v/>
      </c>
      <c r="M25" s="18" t="str">
        <f>IF(J25="","",INDEX('B Supuestos'!$F$20:$F$23,J25))</f>
        <v/>
      </c>
      <c r="N25" s="31">
        <f t="shared" si="2"/>
        <v>0</v>
      </c>
      <c r="O25" s="31">
        <f t="shared" si="3"/>
        <v>-18707289.851544142</v>
      </c>
      <c r="P25" s="31">
        <f t="shared" si="4"/>
        <v>-18707289.851544142</v>
      </c>
      <c r="Q25" s="31">
        <f t="shared" si="5"/>
        <v>-18707289.851544142</v>
      </c>
      <c r="R25" s="31">
        <f t="shared" si="6"/>
        <v>-18707289.851544142</v>
      </c>
    </row>
    <row r="26" spans="1:18" x14ac:dyDescent="0.3">
      <c r="A26" s="39">
        <v>18</v>
      </c>
      <c r="B26" s="56">
        <f>'Trayectorias TRM'!B23</f>
        <v>47956</v>
      </c>
      <c r="C26" s="31">
        <v>0</v>
      </c>
      <c r="D26" s="31">
        <v>0</v>
      </c>
      <c r="E26" s="18">
        <v>0</v>
      </c>
      <c r="F26" s="36">
        <f>INDEX('Trayectorias B'!$C$5:$I$45,19,$B$5)</f>
        <v>3655.6138042719799</v>
      </c>
      <c r="G26" s="31">
        <f t="shared" si="0"/>
        <v>0</v>
      </c>
      <c r="H26" s="18">
        <f>-Amortización!D22</f>
        <v>-5106.0609171583947</v>
      </c>
      <c r="I26" s="31">
        <f t="shared" si="1"/>
        <v>-18665786.774217874</v>
      </c>
      <c r="J26" s="39" t="str">
        <f>IFERROR(MATCH(A26,'B Supuestos'!$D$20:$D$23,0),"")</f>
        <v/>
      </c>
      <c r="K26" s="36" t="str">
        <f>IF(J26="","",INDEX('Trayectorias B'!$C$5:$I$45,A26-3,$B$5))</f>
        <v/>
      </c>
      <c r="L26" s="36" t="str">
        <f>IF(J26="","",K26*(1+'B Supuestos'!$B$12))</f>
        <v/>
      </c>
      <c r="M26" s="18" t="str">
        <f>IF(J26="","",INDEX('B Supuestos'!$F$20:$F$23,J26))</f>
        <v/>
      </c>
      <c r="N26" s="31">
        <f t="shared" si="2"/>
        <v>0</v>
      </c>
      <c r="O26" s="31">
        <f t="shared" si="3"/>
        <v>-18665786.774217874</v>
      </c>
      <c r="P26" s="31">
        <f t="shared" si="4"/>
        <v>-18665786.774217874</v>
      </c>
      <c r="Q26" s="31">
        <f t="shared" si="5"/>
        <v>-18665786.774217874</v>
      </c>
      <c r="R26" s="31">
        <f t="shared" si="6"/>
        <v>-18665786.774217874</v>
      </c>
    </row>
    <row r="27" spans="1:18" x14ac:dyDescent="0.3">
      <c r="A27" s="39">
        <v>19</v>
      </c>
      <c r="B27" s="56">
        <f>'Trayectorias TRM'!B24</f>
        <v>48047</v>
      </c>
      <c r="C27" s="31">
        <v>0</v>
      </c>
      <c r="D27" s="31">
        <v>0</v>
      </c>
      <c r="E27" s="18">
        <v>0</v>
      </c>
      <c r="F27" s="36">
        <f>INDEX('Trayectorias B'!$C$5:$I$45,20,$B$5)</f>
        <v>3684.9572546170498</v>
      </c>
      <c r="G27" s="31">
        <f t="shared" si="0"/>
        <v>0</v>
      </c>
      <c r="H27" s="18">
        <f>-Amortización!D23</f>
        <v>-5106.0609171583947</v>
      </c>
      <c r="I27" s="31">
        <f t="shared" si="1"/>
        <v>-18815616.219199412</v>
      </c>
      <c r="J27" s="39" t="str">
        <f>IFERROR(MATCH(A27,'B Supuestos'!$D$20:$D$23,0),"")</f>
        <v/>
      </c>
      <c r="K27" s="36" t="str">
        <f>IF(J27="","",INDEX('Trayectorias B'!$C$5:$I$45,A27-3,$B$5))</f>
        <v/>
      </c>
      <c r="L27" s="36" t="str">
        <f>IF(J27="","",K27*(1+'B Supuestos'!$B$12))</f>
        <v/>
      </c>
      <c r="M27" s="18" t="str">
        <f>IF(J27="","",INDEX('B Supuestos'!$F$20:$F$23,J27))</f>
        <v/>
      </c>
      <c r="N27" s="31">
        <f t="shared" si="2"/>
        <v>0</v>
      </c>
      <c r="O27" s="31">
        <f t="shared" si="3"/>
        <v>-18815616.219199412</v>
      </c>
      <c r="P27" s="31">
        <f t="shared" si="4"/>
        <v>-18815616.219199412</v>
      </c>
      <c r="Q27" s="31">
        <f t="shared" si="5"/>
        <v>-18815616.219199412</v>
      </c>
      <c r="R27" s="31">
        <f t="shared" si="6"/>
        <v>-18815616.219199412</v>
      </c>
    </row>
    <row r="28" spans="1:18" x14ac:dyDescent="0.3">
      <c r="A28" s="39">
        <v>20</v>
      </c>
      <c r="B28" s="56">
        <f>'Trayectorias TRM'!B25</f>
        <v>48139</v>
      </c>
      <c r="C28" s="31">
        <v>0</v>
      </c>
      <c r="D28" s="31">
        <v>0</v>
      </c>
      <c r="E28" s="18">
        <v>0</v>
      </c>
      <c r="F28" s="36">
        <f>INDEX('Trayectorias B'!$C$5:$I$45,21,$B$5)</f>
        <v>3507.8900685700801</v>
      </c>
      <c r="G28" s="31">
        <f t="shared" si="0"/>
        <v>0</v>
      </c>
      <c r="H28" s="18">
        <f>-Amortización!D24</f>
        <v>-5106.0609171583947</v>
      </c>
      <c r="I28" s="31">
        <f t="shared" si="1"/>
        <v>-17911500.380813766</v>
      </c>
      <c r="J28" s="39" t="str">
        <f>IFERROR(MATCH(A28,'B Supuestos'!$D$20:$D$23,0),"")</f>
        <v/>
      </c>
      <c r="K28" s="36" t="str">
        <f>IF(J28="","",INDEX('Trayectorias B'!$C$5:$I$45,A28-3,$B$5))</f>
        <v/>
      </c>
      <c r="L28" s="36" t="str">
        <f>IF(J28="","",K28*(1+'B Supuestos'!$B$12))</f>
        <v/>
      </c>
      <c r="M28" s="18" t="str">
        <f>IF(J28="","",INDEX('B Supuestos'!$F$20:$F$23,J28))</f>
        <v/>
      </c>
      <c r="N28" s="31">
        <f t="shared" si="2"/>
        <v>0</v>
      </c>
      <c r="O28" s="31">
        <f t="shared" si="3"/>
        <v>-17911500.380813766</v>
      </c>
      <c r="P28" s="31">
        <f t="shared" si="4"/>
        <v>-17911500.380813766</v>
      </c>
      <c r="Q28" s="31">
        <f t="shared" si="5"/>
        <v>-17911500.380813766</v>
      </c>
      <c r="R28" s="31">
        <f t="shared" si="6"/>
        <v>-17911500.380813766</v>
      </c>
    </row>
    <row r="29" spans="1:18" x14ac:dyDescent="0.3">
      <c r="A29" s="39">
        <v>21</v>
      </c>
      <c r="B29" s="56">
        <f>'Trayectorias TRM'!B26</f>
        <v>48231</v>
      </c>
      <c r="C29" s="31">
        <v>0</v>
      </c>
      <c r="D29" s="31">
        <v>0</v>
      </c>
      <c r="E29" s="18">
        <v>0</v>
      </c>
      <c r="F29" s="36">
        <f>INDEX('Trayectorias B'!$C$5:$I$45,22,$B$5)</f>
        <v>4012.6215566055298</v>
      </c>
      <c r="G29" s="31">
        <f t="shared" si="0"/>
        <v>0</v>
      </c>
      <c r="H29" s="18">
        <f>-Amortización!D25</f>
        <v>-5106.0609171583947</v>
      </c>
      <c r="I29" s="31">
        <f t="shared" si="1"/>
        <v>-20488690.105530776</v>
      </c>
      <c r="J29" s="39" t="str">
        <f>IFERROR(MATCH(A29,'B Supuestos'!$D$20:$D$23,0),"")</f>
        <v/>
      </c>
      <c r="K29" s="36" t="str">
        <f>IF(J29="","",INDEX('Trayectorias B'!$C$5:$I$45,A29-3,$B$5))</f>
        <v/>
      </c>
      <c r="L29" s="36" t="str">
        <f>IF(J29="","",K29*(1+'B Supuestos'!$B$12))</f>
        <v/>
      </c>
      <c r="M29" s="18" t="str">
        <f>IF(J29="","",INDEX('B Supuestos'!$F$20:$F$23,J29))</f>
        <v/>
      </c>
      <c r="N29" s="31">
        <f t="shared" si="2"/>
        <v>0</v>
      </c>
      <c r="O29" s="31">
        <f t="shared" si="3"/>
        <v>-20488690.105530776</v>
      </c>
      <c r="P29" s="31">
        <f t="shared" si="4"/>
        <v>-20488690.105530776</v>
      </c>
      <c r="Q29" s="31">
        <f t="shared" si="5"/>
        <v>-20488690.105530776</v>
      </c>
      <c r="R29" s="31">
        <f t="shared" si="6"/>
        <v>-20488690.105530776</v>
      </c>
    </row>
    <row r="30" spans="1:18" x14ac:dyDescent="0.3">
      <c r="A30" s="39">
        <v>22</v>
      </c>
      <c r="B30" s="56">
        <f>'Trayectorias TRM'!B27</f>
        <v>48322</v>
      </c>
      <c r="C30" s="31">
        <v>0</v>
      </c>
      <c r="D30" s="31">
        <v>0</v>
      </c>
      <c r="E30" s="18">
        <v>0</v>
      </c>
      <c r="F30" s="36">
        <f>INDEX('Trayectorias B'!$C$5:$I$45,23,$B$5)</f>
        <v>3795.75289147792</v>
      </c>
      <c r="G30" s="31">
        <f t="shared" si="0"/>
        <v>0</v>
      </c>
      <c r="H30" s="18">
        <f>-Amortización!D26</f>
        <v>-5106.0609171583947</v>
      </c>
      <c r="I30" s="31">
        <f t="shared" si="1"/>
        <v>-19381345.490366377</v>
      </c>
      <c r="J30" s="39" t="str">
        <f>IFERROR(MATCH(A30,'B Supuestos'!$D$20:$D$23,0),"")</f>
        <v/>
      </c>
      <c r="K30" s="36" t="str">
        <f>IF(J30="","",INDEX('Trayectorias B'!$C$5:$I$45,A30-3,$B$5))</f>
        <v/>
      </c>
      <c r="L30" s="36" t="str">
        <f>IF(J30="","",K30*(1+'B Supuestos'!$B$12))</f>
        <v/>
      </c>
      <c r="M30" s="18" t="str">
        <f>IF(J30="","",INDEX('B Supuestos'!$F$20:$F$23,J30))</f>
        <v/>
      </c>
      <c r="N30" s="31">
        <f t="shared" si="2"/>
        <v>0</v>
      </c>
      <c r="O30" s="31">
        <f t="shared" si="3"/>
        <v>-19381345.490366377</v>
      </c>
      <c r="P30" s="31">
        <f t="shared" si="4"/>
        <v>-19381345.490366377</v>
      </c>
      <c r="Q30" s="31">
        <f t="shared" si="5"/>
        <v>-19381345.490366377</v>
      </c>
      <c r="R30" s="31">
        <f t="shared" si="6"/>
        <v>-19381345.490366377</v>
      </c>
    </row>
    <row r="31" spans="1:18" x14ac:dyDescent="0.3">
      <c r="A31" s="39">
        <v>23</v>
      </c>
      <c r="B31" s="56">
        <f>'Trayectorias TRM'!B28</f>
        <v>48413</v>
      </c>
      <c r="C31" s="31">
        <v>0</v>
      </c>
      <c r="D31" s="31">
        <v>0</v>
      </c>
      <c r="E31" s="18">
        <v>0</v>
      </c>
      <c r="F31" s="36">
        <f>INDEX('Trayectorias B'!$C$5:$I$45,24,$B$5)</f>
        <v>3655.6527803202698</v>
      </c>
      <c r="G31" s="31">
        <f t="shared" si="0"/>
        <v>0</v>
      </c>
      <c r="H31" s="18">
        <f>-Amortización!D27</f>
        <v>-5106.0609171583947</v>
      </c>
      <c r="I31" s="31">
        <f t="shared" si="1"/>
        <v>-18665985.788294751</v>
      </c>
      <c r="J31" s="39" t="str">
        <f>IFERROR(MATCH(A31,'B Supuestos'!$D$20:$D$23,0),"")</f>
        <v/>
      </c>
      <c r="K31" s="36" t="str">
        <f>IF(J31="","",INDEX('Trayectorias B'!$C$5:$I$45,A31-3,$B$5))</f>
        <v/>
      </c>
      <c r="L31" s="36" t="str">
        <f>IF(J31="","",K31*(1+'B Supuestos'!$B$12))</f>
        <v/>
      </c>
      <c r="M31" s="18" t="str">
        <f>IF(J31="","",INDEX('B Supuestos'!$F$20:$F$23,J31))</f>
        <v/>
      </c>
      <c r="N31" s="31">
        <f t="shared" si="2"/>
        <v>0</v>
      </c>
      <c r="O31" s="31">
        <f t="shared" si="3"/>
        <v>-18665985.788294751</v>
      </c>
      <c r="P31" s="31">
        <f t="shared" si="4"/>
        <v>-18665985.788294751</v>
      </c>
      <c r="Q31" s="31">
        <f t="shared" si="5"/>
        <v>-18665985.788294751</v>
      </c>
      <c r="R31" s="31">
        <f t="shared" si="6"/>
        <v>-18665985.788294751</v>
      </c>
    </row>
    <row r="32" spans="1:18" x14ac:dyDescent="0.3">
      <c r="A32" s="39">
        <v>24</v>
      </c>
      <c r="B32" s="56">
        <f>'Trayectorias TRM'!B29</f>
        <v>48505</v>
      </c>
      <c r="C32" s="31">
        <v>0</v>
      </c>
      <c r="D32" s="31">
        <v>0</v>
      </c>
      <c r="E32" s="18">
        <v>0</v>
      </c>
      <c r="F32" s="36">
        <f>INDEX('Trayectorias B'!$C$5:$I$45,25,$B$5)</f>
        <v>3695.2577510003298</v>
      </c>
      <c r="G32" s="31">
        <f t="shared" si="0"/>
        <v>0</v>
      </c>
      <c r="H32" s="18">
        <f>-Amortización!D28</f>
        <v>-5106.0609171583947</v>
      </c>
      <c r="I32" s="31">
        <f t="shared" si="1"/>
        <v>-18868211.181209411</v>
      </c>
      <c r="J32" s="39" t="str">
        <f>IFERROR(MATCH(A32,'B Supuestos'!$D$20:$D$23,0),"")</f>
        <v/>
      </c>
      <c r="K32" s="36" t="str">
        <f>IF(J32="","",INDEX('Trayectorias B'!$C$5:$I$45,A32-3,$B$5))</f>
        <v/>
      </c>
      <c r="L32" s="36" t="str">
        <f>IF(J32="","",K32*(1+'B Supuestos'!$B$12))</f>
        <v/>
      </c>
      <c r="M32" s="18" t="str">
        <f>IF(J32="","",INDEX('B Supuestos'!$F$20:$F$23,J32))</f>
        <v/>
      </c>
      <c r="N32" s="31">
        <f t="shared" si="2"/>
        <v>0</v>
      </c>
      <c r="O32" s="31">
        <f t="shared" si="3"/>
        <v>-18868211.181209411</v>
      </c>
      <c r="P32" s="31">
        <f t="shared" si="4"/>
        <v>-18868211.181209411</v>
      </c>
      <c r="Q32" s="31">
        <f t="shared" si="5"/>
        <v>-18868211.181209411</v>
      </c>
      <c r="R32" s="31">
        <f t="shared" si="6"/>
        <v>-18868211.181209411</v>
      </c>
    </row>
    <row r="33" spans="1:18" x14ac:dyDescent="0.3">
      <c r="A33" s="39">
        <v>25</v>
      </c>
      <c r="B33" s="56">
        <f>'Trayectorias TRM'!B30</f>
        <v>48597</v>
      </c>
      <c r="C33" s="31">
        <v>0</v>
      </c>
      <c r="D33" s="31">
        <v>0</v>
      </c>
      <c r="E33" s="18">
        <v>0</v>
      </c>
      <c r="F33" s="36">
        <f>INDEX('Trayectorias B'!$C$5:$I$45,26,$B$5)</f>
        <v>3445.9938711816799</v>
      </c>
      <c r="G33" s="31">
        <f t="shared" si="0"/>
        <v>0</v>
      </c>
      <c r="H33" s="18">
        <f>-Amortización!D29</f>
        <v>-5106.0609171583947</v>
      </c>
      <c r="I33" s="31">
        <f t="shared" si="1"/>
        <v>-17595454.626408134</v>
      </c>
      <c r="J33" s="39" t="str">
        <f>IFERROR(MATCH(A33,'B Supuestos'!$D$20:$D$23,0),"")</f>
        <v/>
      </c>
      <c r="K33" s="36" t="str">
        <f>IF(J33="","",INDEX('Trayectorias B'!$C$5:$I$45,A33-3,$B$5))</f>
        <v/>
      </c>
      <c r="L33" s="36" t="str">
        <f>IF(J33="","",K33*(1+'B Supuestos'!$B$12))</f>
        <v/>
      </c>
      <c r="M33" s="18" t="str">
        <f>IF(J33="","",INDEX('B Supuestos'!$F$20:$F$23,J33))</f>
        <v/>
      </c>
      <c r="N33" s="31">
        <f t="shared" si="2"/>
        <v>0</v>
      </c>
      <c r="O33" s="31">
        <f t="shared" si="3"/>
        <v>-17595454.626408134</v>
      </c>
      <c r="P33" s="31">
        <f t="shared" si="4"/>
        <v>-17595454.626408134</v>
      </c>
      <c r="Q33" s="31">
        <f t="shared" si="5"/>
        <v>-17595454.626408134</v>
      </c>
      <c r="R33" s="31">
        <f t="shared" si="6"/>
        <v>-17595454.626408134</v>
      </c>
    </row>
    <row r="34" spans="1:18" x14ac:dyDescent="0.3">
      <c r="A34" s="39">
        <v>26</v>
      </c>
      <c r="B34" s="56">
        <f>'Trayectorias TRM'!B31</f>
        <v>48687</v>
      </c>
      <c r="C34" s="31">
        <v>0</v>
      </c>
      <c r="D34" s="31">
        <v>0</v>
      </c>
      <c r="E34" s="18">
        <v>0</v>
      </c>
      <c r="F34" s="36">
        <f>INDEX('Trayectorias B'!$C$5:$I$45,27,$B$5)</f>
        <v>3454.49747077863</v>
      </c>
      <c r="G34" s="31">
        <f t="shared" si="0"/>
        <v>0</v>
      </c>
      <c r="H34" s="18">
        <f>-Amortización!D30</f>
        <v>-5106.0609171583947</v>
      </c>
      <c r="I34" s="31">
        <f t="shared" si="1"/>
        <v>-17638874.523965288</v>
      </c>
      <c r="J34" s="39" t="str">
        <f>IFERROR(MATCH(A34,'B Supuestos'!$D$20:$D$23,0),"")</f>
        <v/>
      </c>
      <c r="K34" s="36" t="str">
        <f>IF(J34="","",INDEX('Trayectorias B'!$C$5:$I$45,A34-3,$B$5))</f>
        <v/>
      </c>
      <c r="L34" s="36" t="str">
        <f>IF(J34="","",K34*(1+'B Supuestos'!$B$12))</f>
        <v/>
      </c>
      <c r="M34" s="18" t="str">
        <f>IF(J34="","",INDEX('B Supuestos'!$F$20:$F$23,J34))</f>
        <v/>
      </c>
      <c r="N34" s="31">
        <f t="shared" si="2"/>
        <v>0</v>
      </c>
      <c r="O34" s="31">
        <f t="shared" si="3"/>
        <v>-17638874.523965288</v>
      </c>
      <c r="P34" s="31">
        <f t="shared" si="4"/>
        <v>-17638874.523965288</v>
      </c>
      <c r="Q34" s="31">
        <f t="shared" si="5"/>
        <v>-17638874.523965288</v>
      </c>
      <c r="R34" s="31">
        <f t="shared" si="6"/>
        <v>-17638874.523965288</v>
      </c>
    </row>
    <row r="35" spans="1:18" x14ac:dyDescent="0.3">
      <c r="A35" s="39">
        <v>27</v>
      </c>
      <c r="B35" s="56">
        <f>'Trayectorias TRM'!B32</f>
        <v>48778</v>
      </c>
      <c r="C35" s="31">
        <v>0</v>
      </c>
      <c r="D35" s="31">
        <v>0</v>
      </c>
      <c r="E35" s="18">
        <v>0</v>
      </c>
      <c r="F35" s="36">
        <f>INDEX('Trayectorias B'!$C$5:$I$45,28,$B$5)</f>
        <v>3829.2340181550398</v>
      </c>
      <c r="G35" s="31">
        <f t="shared" si="0"/>
        <v>0</v>
      </c>
      <c r="H35" s="18">
        <f>-Amortización!D31</f>
        <v>-5106.0609171583947</v>
      </c>
      <c r="I35" s="31">
        <f t="shared" si="1"/>
        <v>-19552302.162754849</v>
      </c>
      <c r="J35" s="39" t="str">
        <f>IFERROR(MATCH(A35,'B Supuestos'!$D$20:$D$23,0),"")</f>
        <v/>
      </c>
      <c r="K35" s="36" t="str">
        <f>IF(J35="","",INDEX('Trayectorias B'!$C$5:$I$45,A35-3,$B$5))</f>
        <v/>
      </c>
      <c r="L35" s="36" t="str">
        <f>IF(J35="","",K35*(1+'B Supuestos'!$B$12))</f>
        <v/>
      </c>
      <c r="M35" s="18" t="str">
        <f>IF(J35="","",INDEX('B Supuestos'!$F$20:$F$23,J35))</f>
        <v/>
      </c>
      <c r="N35" s="31">
        <f t="shared" si="2"/>
        <v>0</v>
      </c>
      <c r="O35" s="31">
        <f t="shared" si="3"/>
        <v>-19552302.162754849</v>
      </c>
      <c r="P35" s="31">
        <f t="shared" si="4"/>
        <v>-19552302.162754849</v>
      </c>
      <c r="Q35" s="31">
        <f t="shared" si="5"/>
        <v>-19552302.162754849</v>
      </c>
      <c r="R35" s="31">
        <f t="shared" si="6"/>
        <v>-19552302.162754849</v>
      </c>
    </row>
    <row r="36" spans="1:18" x14ac:dyDescent="0.3">
      <c r="A36" s="57">
        <v>28</v>
      </c>
      <c r="B36" s="58">
        <f>'Trayectorias TRM'!B33</f>
        <v>48870</v>
      </c>
      <c r="C36" s="59">
        <v>0</v>
      </c>
      <c r="D36" s="59">
        <v>0</v>
      </c>
      <c r="E36" s="60">
        <v>0</v>
      </c>
      <c r="F36" s="46">
        <f>INDEX('Trayectorias B'!$C$5:$I$45,29,$B$5)</f>
        <v>3721.63235773627</v>
      </c>
      <c r="G36" s="59">
        <f t="shared" si="0"/>
        <v>0</v>
      </c>
      <c r="H36" s="60">
        <f>-Amortización!D32</f>
        <v>-5106.0609171583947</v>
      </c>
      <c r="I36" s="59">
        <f t="shared" si="1"/>
        <v>-19002881.529869217</v>
      </c>
      <c r="J36" s="57">
        <f>IFERROR(MATCH(A36,'B Supuestos'!$D$20:$D$23,0),"")</f>
        <v>1</v>
      </c>
      <c r="K36" s="46">
        <f>IF(J36="","",INDEX('Trayectorias B'!$C$5:$I$45,A36-3,$B$5))</f>
        <v>3695.2577510003298</v>
      </c>
      <c r="L36" s="46">
        <f>IF(J36="","",K36*(1+'B Supuestos'!$B$12))</f>
        <v>3995.2016788297888</v>
      </c>
      <c r="M36" s="60">
        <f>IF(J36="","",INDEX('B Supuestos'!$F$20:$F$23,J36))</f>
        <v>15318.182751475184</v>
      </c>
      <c r="N36" s="59">
        <f t="shared" si="2"/>
        <v>-4190584.855707515</v>
      </c>
      <c r="O36" s="59">
        <f t="shared" si="3"/>
        <v>-19002881.529869217</v>
      </c>
      <c r="P36" s="59">
        <f t="shared" si="4"/>
        <v>-23193466.385576732</v>
      </c>
      <c r="Q36" s="59">
        <f t="shared" si="5"/>
        <v>-19002881.529869217</v>
      </c>
      <c r="R36" s="59">
        <f t="shared" si="6"/>
        <v>-23193466.385576732</v>
      </c>
    </row>
    <row r="37" spans="1:18" x14ac:dyDescent="0.3">
      <c r="A37" s="39">
        <v>29</v>
      </c>
      <c r="B37" s="56">
        <f>'Trayectorias TRM'!B34</f>
        <v>48962</v>
      </c>
      <c r="C37" s="31">
        <v>0</v>
      </c>
      <c r="D37" s="31">
        <v>0</v>
      </c>
      <c r="E37" s="18">
        <v>0</v>
      </c>
      <c r="F37" s="36">
        <f>INDEX('Trayectorias B'!$C$5:$I$45,30,$B$5)</f>
        <v>3666.9433163377198</v>
      </c>
      <c r="G37" s="31">
        <f t="shared" si="0"/>
        <v>0</v>
      </c>
      <c r="H37" s="18">
        <f>-Amortización!D33</f>
        <v>-5106.0609171583947</v>
      </c>
      <c r="I37" s="31">
        <f t="shared" si="1"/>
        <v>-18723635.952987224</v>
      </c>
      <c r="J37" s="39" t="str">
        <f>IFERROR(MATCH(A37,'B Supuestos'!$D$20:$D$23,0),"")</f>
        <v/>
      </c>
      <c r="K37" s="36" t="str">
        <f>IF(J37="","",INDEX('Trayectorias B'!$C$5:$I$45,A37-3,$B$5))</f>
        <v/>
      </c>
      <c r="L37" s="36" t="str">
        <f>IF(J37="","",K37*(1+'B Supuestos'!$B$12))</f>
        <v/>
      </c>
      <c r="M37" s="18" t="str">
        <f>IF(J37="","",INDEX('B Supuestos'!$F$20:$F$23,J37))</f>
        <v/>
      </c>
      <c r="N37" s="31">
        <f t="shared" si="2"/>
        <v>0</v>
      </c>
      <c r="O37" s="31">
        <f t="shared" si="3"/>
        <v>-18723635.952987224</v>
      </c>
      <c r="P37" s="31">
        <f t="shared" si="4"/>
        <v>-18723635.952987224</v>
      </c>
      <c r="Q37" s="31">
        <f t="shared" si="5"/>
        <v>-18723635.952987224</v>
      </c>
      <c r="R37" s="31">
        <f t="shared" si="6"/>
        <v>-18723635.952987224</v>
      </c>
    </row>
    <row r="38" spans="1:18" x14ac:dyDescent="0.3">
      <c r="A38" s="39">
        <v>30</v>
      </c>
      <c r="B38" s="56">
        <f>'Trayectorias TRM'!B35</f>
        <v>49052</v>
      </c>
      <c r="C38" s="31">
        <v>0</v>
      </c>
      <c r="D38" s="31">
        <v>0</v>
      </c>
      <c r="E38" s="18">
        <v>0</v>
      </c>
      <c r="F38" s="36">
        <f>INDEX('Trayectorias B'!$C$5:$I$45,31,$B$5)</f>
        <v>3743.9193238784301</v>
      </c>
      <c r="G38" s="31">
        <f t="shared" si="0"/>
        <v>0</v>
      </c>
      <c r="H38" s="18">
        <f>-Amortización!D34</f>
        <v>-5106.0609171583947</v>
      </c>
      <c r="I38" s="31">
        <f t="shared" si="1"/>
        <v>-19116680.136649735</v>
      </c>
      <c r="J38" s="39" t="str">
        <f>IFERROR(MATCH(A38,'B Supuestos'!$D$20:$D$23,0),"")</f>
        <v/>
      </c>
      <c r="K38" s="36" t="str">
        <f>IF(J38="","",INDEX('Trayectorias B'!$C$5:$I$45,A38-3,$B$5))</f>
        <v/>
      </c>
      <c r="L38" s="36" t="str">
        <f>IF(J38="","",K38*(1+'B Supuestos'!$B$12))</f>
        <v/>
      </c>
      <c r="M38" s="18" t="str">
        <f>IF(J38="","",INDEX('B Supuestos'!$F$20:$F$23,J38))</f>
        <v/>
      </c>
      <c r="N38" s="31">
        <f t="shared" si="2"/>
        <v>0</v>
      </c>
      <c r="O38" s="31">
        <f t="shared" si="3"/>
        <v>-19116680.136649735</v>
      </c>
      <c r="P38" s="31">
        <f t="shared" si="4"/>
        <v>-19116680.136649735</v>
      </c>
      <c r="Q38" s="31">
        <f t="shared" si="5"/>
        <v>-19116680.136649735</v>
      </c>
      <c r="R38" s="31">
        <f t="shared" si="6"/>
        <v>-19116680.136649735</v>
      </c>
    </row>
    <row r="39" spans="1:18" x14ac:dyDescent="0.3">
      <c r="A39" s="39">
        <v>31</v>
      </c>
      <c r="B39" s="56">
        <f>'Trayectorias TRM'!B36</f>
        <v>49143</v>
      </c>
      <c r="C39" s="31">
        <v>0</v>
      </c>
      <c r="D39" s="31">
        <v>0</v>
      </c>
      <c r="E39" s="18">
        <v>0</v>
      </c>
      <c r="F39" s="36">
        <f>INDEX('Trayectorias B'!$C$5:$I$45,32,$B$5)</f>
        <v>3783.6618555652699</v>
      </c>
      <c r="G39" s="31">
        <f t="shared" si="0"/>
        <v>0</v>
      </c>
      <c r="H39" s="18">
        <f>-Amortización!D35</f>
        <v>-5106.0609171583947</v>
      </c>
      <c r="I39" s="31">
        <f t="shared" si="1"/>
        <v>-19319607.924444836</v>
      </c>
      <c r="J39" s="39" t="str">
        <f>IFERROR(MATCH(A39,'B Supuestos'!$D$20:$D$23,0),"")</f>
        <v/>
      </c>
      <c r="K39" s="36" t="str">
        <f>IF(J39="","",INDEX('Trayectorias B'!$C$5:$I$45,A39-3,$B$5))</f>
        <v/>
      </c>
      <c r="L39" s="36" t="str">
        <f>IF(J39="","",K39*(1+'B Supuestos'!$B$12))</f>
        <v/>
      </c>
      <c r="M39" s="18" t="str">
        <f>IF(J39="","",INDEX('B Supuestos'!$F$20:$F$23,J39))</f>
        <v/>
      </c>
      <c r="N39" s="31">
        <f t="shared" si="2"/>
        <v>0</v>
      </c>
      <c r="O39" s="31">
        <f t="shared" si="3"/>
        <v>-19319607.924444836</v>
      </c>
      <c r="P39" s="31">
        <f t="shared" si="4"/>
        <v>-19319607.924444836</v>
      </c>
      <c r="Q39" s="31">
        <f t="shared" si="5"/>
        <v>-19319607.924444836</v>
      </c>
      <c r="R39" s="31">
        <f t="shared" si="6"/>
        <v>-19319607.924444836</v>
      </c>
    </row>
    <row r="40" spans="1:18" x14ac:dyDescent="0.3">
      <c r="A40" s="57">
        <v>32</v>
      </c>
      <c r="B40" s="58">
        <f>'Trayectorias TRM'!B37</f>
        <v>49235</v>
      </c>
      <c r="C40" s="59">
        <v>0</v>
      </c>
      <c r="D40" s="59">
        <v>0</v>
      </c>
      <c r="E40" s="60">
        <v>0</v>
      </c>
      <c r="F40" s="46">
        <f>INDEX('Trayectorias B'!$C$5:$I$45,33,$B$5)</f>
        <v>3336.8078754234102</v>
      </c>
      <c r="G40" s="59">
        <f t="shared" si="0"/>
        <v>0</v>
      </c>
      <c r="H40" s="60">
        <f>-Amortización!D36</f>
        <v>-5106.0609171583947</v>
      </c>
      <c r="I40" s="59">
        <f t="shared" si="1"/>
        <v>-17037944.280765813</v>
      </c>
      <c r="J40" s="57">
        <f>IFERROR(MATCH(A40,'B Supuestos'!$D$20:$D$23,0),"")</f>
        <v>2</v>
      </c>
      <c r="K40" s="46">
        <f>IF(J40="","",INDEX('Trayectorias B'!$C$5:$I$45,A40-3,$B$5))</f>
        <v>3721.63235773627</v>
      </c>
      <c r="L40" s="46">
        <f>IF(J40="","",K40*(1+'B Supuestos'!$B$12))</f>
        <v>4023.7171113679869</v>
      </c>
      <c r="M40" s="60">
        <f>IF(J40="","",INDEX('B Supuestos'!$F$20:$F$23,J40))</f>
        <v>15318.182751475184</v>
      </c>
      <c r="N40" s="59">
        <f t="shared" si="2"/>
        <v>-10522201.209875213</v>
      </c>
      <c r="O40" s="59">
        <f t="shared" si="3"/>
        <v>-17037944.280765813</v>
      </c>
      <c r="P40" s="59">
        <f t="shared" si="4"/>
        <v>-27560145.490641028</v>
      </c>
      <c r="Q40" s="59">
        <f t="shared" si="5"/>
        <v>-17037944.280765813</v>
      </c>
      <c r="R40" s="59">
        <f t="shared" si="6"/>
        <v>-27560145.490641028</v>
      </c>
    </row>
    <row r="41" spans="1:18" x14ac:dyDescent="0.3">
      <c r="A41" s="39">
        <v>33</v>
      </c>
      <c r="B41" s="56">
        <f>'Trayectorias TRM'!B38</f>
        <v>49327</v>
      </c>
      <c r="C41" s="31">
        <v>0</v>
      </c>
      <c r="D41" s="31">
        <v>0</v>
      </c>
      <c r="E41" s="18">
        <v>0</v>
      </c>
      <c r="F41" s="36">
        <f>INDEX('Trayectorias B'!$C$5:$I$45,34,$B$5)</f>
        <v>3214.6258542407199</v>
      </c>
      <c r="G41" s="31">
        <f t="shared" si="0"/>
        <v>0</v>
      </c>
      <c r="H41" s="18">
        <f>-Amortización!D37</f>
        <v>-5106.0609171583947</v>
      </c>
      <c r="I41" s="31">
        <f t="shared" si="1"/>
        <v>-16414075.437625458</v>
      </c>
      <c r="J41" s="39" t="str">
        <f>IFERROR(MATCH(A41,'B Supuestos'!$D$20:$D$23,0),"")</f>
        <v/>
      </c>
      <c r="K41" s="36" t="str">
        <f>IF(J41="","",INDEX('Trayectorias B'!$C$5:$I$45,A41-3,$B$5))</f>
        <v/>
      </c>
      <c r="L41" s="36" t="str">
        <f>IF(J41="","",K41*(1+'B Supuestos'!$B$12))</f>
        <v/>
      </c>
      <c r="M41" s="18" t="str">
        <f>IF(J41="","",INDEX('B Supuestos'!$F$20:$F$23,J41))</f>
        <v/>
      </c>
      <c r="N41" s="31">
        <f t="shared" si="2"/>
        <v>0</v>
      </c>
      <c r="O41" s="31">
        <f t="shared" si="3"/>
        <v>-16414075.437625458</v>
      </c>
      <c r="P41" s="31">
        <f t="shared" si="4"/>
        <v>-16414075.437625458</v>
      </c>
      <c r="Q41" s="31">
        <f t="shared" si="5"/>
        <v>-16414075.437625458</v>
      </c>
      <c r="R41" s="31">
        <f t="shared" si="6"/>
        <v>-16414075.437625458</v>
      </c>
    </row>
    <row r="42" spans="1:18" x14ac:dyDescent="0.3">
      <c r="A42" s="39">
        <v>34</v>
      </c>
      <c r="B42" s="56">
        <f>'Trayectorias TRM'!B39</f>
        <v>49417</v>
      </c>
      <c r="C42" s="31">
        <v>0</v>
      </c>
      <c r="D42" s="31">
        <v>0</v>
      </c>
      <c r="E42" s="18">
        <v>0</v>
      </c>
      <c r="F42" s="36">
        <f>INDEX('Trayectorias B'!$C$5:$I$45,35,$B$5)</f>
        <v>3333.7776118224401</v>
      </c>
      <c r="G42" s="31">
        <f t="shared" si="0"/>
        <v>0</v>
      </c>
      <c r="H42" s="18">
        <f>-Amortización!D38</f>
        <v>-5106.0609171583947</v>
      </c>
      <c r="I42" s="31">
        <f t="shared" si="1"/>
        <v>-17022471.570224211</v>
      </c>
      <c r="J42" s="39" t="str">
        <f>IFERROR(MATCH(A42,'B Supuestos'!$D$20:$D$23,0),"")</f>
        <v/>
      </c>
      <c r="K42" s="36" t="str">
        <f>IF(J42="","",INDEX('Trayectorias B'!$C$5:$I$45,A42-3,$B$5))</f>
        <v/>
      </c>
      <c r="L42" s="36" t="str">
        <f>IF(J42="","",K42*(1+'B Supuestos'!$B$12))</f>
        <v/>
      </c>
      <c r="M42" s="18" t="str">
        <f>IF(J42="","",INDEX('B Supuestos'!$F$20:$F$23,J42))</f>
        <v/>
      </c>
      <c r="N42" s="31">
        <f t="shared" si="2"/>
        <v>0</v>
      </c>
      <c r="O42" s="31">
        <f t="shared" si="3"/>
        <v>-17022471.570224211</v>
      </c>
      <c r="P42" s="31">
        <f t="shared" si="4"/>
        <v>-17022471.570224211</v>
      </c>
      <c r="Q42" s="31">
        <f t="shared" si="5"/>
        <v>-17022471.570224211</v>
      </c>
      <c r="R42" s="31">
        <f t="shared" si="6"/>
        <v>-17022471.570224211</v>
      </c>
    </row>
    <row r="43" spans="1:18" x14ac:dyDescent="0.3">
      <c r="A43" s="39">
        <v>35</v>
      </c>
      <c r="B43" s="56">
        <f>'Trayectorias TRM'!B40</f>
        <v>49508</v>
      </c>
      <c r="C43" s="31">
        <v>0</v>
      </c>
      <c r="D43" s="31">
        <v>0</v>
      </c>
      <c r="E43" s="18">
        <v>0</v>
      </c>
      <c r="F43" s="36">
        <f>INDEX('Trayectorias B'!$C$5:$I$45,36,$B$5)</f>
        <v>3365.6192394800901</v>
      </c>
      <c r="G43" s="31">
        <f t="shared" si="0"/>
        <v>0</v>
      </c>
      <c r="H43" s="18">
        <f>-Amortización!D39</f>
        <v>-5106.0609171583947</v>
      </c>
      <c r="I43" s="31">
        <f t="shared" si="1"/>
        <v>-17185056.860745646</v>
      </c>
      <c r="J43" s="39" t="str">
        <f>IFERROR(MATCH(A43,'B Supuestos'!$D$20:$D$23,0),"")</f>
        <v/>
      </c>
      <c r="K43" s="36" t="str">
        <f>IF(J43="","",INDEX('Trayectorias B'!$C$5:$I$45,A43-3,$B$5))</f>
        <v/>
      </c>
      <c r="L43" s="36" t="str">
        <f>IF(J43="","",K43*(1+'B Supuestos'!$B$12))</f>
        <v/>
      </c>
      <c r="M43" s="18" t="str">
        <f>IF(J43="","",INDEX('B Supuestos'!$F$20:$F$23,J43))</f>
        <v/>
      </c>
      <c r="N43" s="31">
        <f t="shared" si="2"/>
        <v>0</v>
      </c>
      <c r="O43" s="31">
        <f t="shared" si="3"/>
        <v>-17185056.860745646</v>
      </c>
      <c r="P43" s="31">
        <f t="shared" si="4"/>
        <v>-17185056.860745646</v>
      </c>
      <c r="Q43" s="31">
        <f t="shared" si="5"/>
        <v>-17185056.860745646</v>
      </c>
      <c r="R43" s="31">
        <f t="shared" si="6"/>
        <v>-17185056.860745646</v>
      </c>
    </row>
    <row r="44" spans="1:18" x14ac:dyDescent="0.3">
      <c r="A44" s="57">
        <v>36</v>
      </c>
      <c r="B44" s="58">
        <f>'Trayectorias TRM'!B41</f>
        <v>49600</v>
      </c>
      <c r="C44" s="59">
        <v>0</v>
      </c>
      <c r="D44" s="59">
        <v>0</v>
      </c>
      <c r="E44" s="60">
        <v>0</v>
      </c>
      <c r="F44" s="46">
        <f>INDEX('Trayectorias B'!$C$5:$I$45,37,$B$5)</f>
        <v>3548.8585985405098</v>
      </c>
      <c r="G44" s="59">
        <f t="shared" si="0"/>
        <v>0</v>
      </c>
      <c r="H44" s="60">
        <f>-Amortización!D40</f>
        <v>-5106.0609171583947</v>
      </c>
      <c r="I44" s="59">
        <f t="shared" si="1"/>
        <v>-18120688.190529209</v>
      </c>
      <c r="J44" s="57">
        <f>IFERROR(MATCH(A44,'B Supuestos'!$D$20:$D$23,0),"")</f>
        <v>3</v>
      </c>
      <c r="K44" s="46">
        <f>IF(J44="","",INDEX('Trayectorias B'!$C$5:$I$45,A44-3,$B$5))</f>
        <v>3336.8078754234102</v>
      </c>
      <c r="L44" s="46">
        <f>IF(J44="","",K44*(1+'B Supuestos'!$B$12))</f>
        <v>3607.6564408031409</v>
      </c>
      <c r="M44" s="60">
        <f>IF(J44="","",INDEX('B Supuestos'!$F$20:$F$23,J44))</f>
        <v>15318.182751475184</v>
      </c>
      <c r="N44" s="59">
        <f t="shared" si="2"/>
        <v>-900676.0931713942</v>
      </c>
      <c r="O44" s="59">
        <f t="shared" si="3"/>
        <v>-18120688.190529209</v>
      </c>
      <c r="P44" s="59">
        <f t="shared" si="4"/>
        <v>-19021364.283700604</v>
      </c>
      <c r="Q44" s="59">
        <f t="shared" si="5"/>
        <v>-18120688.190529209</v>
      </c>
      <c r="R44" s="59">
        <f t="shared" si="6"/>
        <v>-19021364.283700604</v>
      </c>
    </row>
    <row r="45" spans="1:18" x14ac:dyDescent="0.3">
      <c r="A45" s="39">
        <v>37</v>
      </c>
      <c r="B45" s="56">
        <f>'Trayectorias TRM'!B42</f>
        <v>49692</v>
      </c>
      <c r="C45" s="31">
        <v>0</v>
      </c>
      <c r="D45" s="31">
        <v>0</v>
      </c>
      <c r="E45" s="18">
        <v>0</v>
      </c>
      <c r="F45" s="36">
        <f>INDEX('Trayectorias B'!$C$5:$I$45,38,$B$5)</f>
        <v>3674.0702449549799</v>
      </c>
      <c r="G45" s="31">
        <f t="shared" si="0"/>
        <v>0</v>
      </c>
      <c r="H45" s="18">
        <f>-Amortización!D41</f>
        <v>-5106.0609171583947</v>
      </c>
      <c r="I45" s="31">
        <f t="shared" si="1"/>
        <v>-18760026.484659191</v>
      </c>
      <c r="J45" s="39" t="str">
        <f>IFERROR(MATCH(A45,'B Supuestos'!$D$20:$D$23,0),"")</f>
        <v/>
      </c>
      <c r="K45" s="36" t="str">
        <f>IF(J45="","",INDEX('Trayectorias B'!$C$5:$I$45,A45-3,$B$5))</f>
        <v/>
      </c>
      <c r="L45" s="36" t="str">
        <f>IF(J45="","",K45*(1+'B Supuestos'!$B$12))</f>
        <v/>
      </c>
      <c r="M45" s="18" t="str">
        <f>IF(J45="","",INDEX('B Supuestos'!$F$20:$F$23,J45))</f>
        <v/>
      </c>
      <c r="N45" s="31">
        <f t="shared" si="2"/>
        <v>0</v>
      </c>
      <c r="O45" s="31">
        <f t="shared" si="3"/>
        <v>-18760026.484659191</v>
      </c>
      <c r="P45" s="31">
        <f t="shared" si="4"/>
        <v>-18760026.484659191</v>
      </c>
      <c r="Q45" s="31">
        <f t="shared" si="5"/>
        <v>-18760026.484659191</v>
      </c>
      <c r="R45" s="31">
        <f t="shared" si="6"/>
        <v>-18760026.484659191</v>
      </c>
    </row>
    <row r="46" spans="1:18" x14ac:dyDescent="0.3">
      <c r="A46" s="39">
        <v>38</v>
      </c>
      <c r="B46" s="56">
        <f>'Trayectorias TRM'!B43</f>
        <v>49783</v>
      </c>
      <c r="C46" s="31">
        <v>0</v>
      </c>
      <c r="D46" s="31">
        <v>0</v>
      </c>
      <c r="E46" s="18">
        <v>0</v>
      </c>
      <c r="F46" s="36">
        <f>INDEX('Trayectorias B'!$C$5:$I$45,39,$B$5)</f>
        <v>3823.7906188643301</v>
      </c>
      <c r="G46" s="31">
        <f t="shared" si="0"/>
        <v>0</v>
      </c>
      <c r="H46" s="18">
        <f>-Amortización!D42</f>
        <v>-5106.0609171583947</v>
      </c>
      <c r="I46" s="31">
        <f t="shared" si="1"/>
        <v>-19524507.834380068</v>
      </c>
      <c r="J46" s="39" t="str">
        <f>IFERROR(MATCH(A46,'B Supuestos'!$D$20:$D$23,0),"")</f>
        <v/>
      </c>
      <c r="K46" s="36" t="str">
        <f>IF(J46="","",INDEX('Trayectorias B'!$C$5:$I$45,A46-3,$B$5))</f>
        <v/>
      </c>
      <c r="L46" s="36" t="str">
        <f>IF(J46="","",K46*(1+'B Supuestos'!$B$12))</f>
        <v/>
      </c>
      <c r="M46" s="18" t="str">
        <f>IF(J46="","",INDEX('B Supuestos'!$F$20:$F$23,J46))</f>
        <v/>
      </c>
      <c r="N46" s="31">
        <f t="shared" si="2"/>
        <v>0</v>
      </c>
      <c r="O46" s="31">
        <f t="shared" si="3"/>
        <v>-19524507.834380068</v>
      </c>
      <c r="P46" s="31">
        <f t="shared" si="4"/>
        <v>-19524507.834380068</v>
      </c>
      <c r="Q46" s="31">
        <f t="shared" si="5"/>
        <v>-19524507.834380068</v>
      </c>
      <c r="R46" s="31">
        <f t="shared" si="6"/>
        <v>-19524507.834380068</v>
      </c>
    </row>
    <row r="47" spans="1:18" x14ac:dyDescent="0.3">
      <c r="A47" s="39">
        <v>39</v>
      </c>
      <c r="B47" s="56">
        <f>'Trayectorias TRM'!B44</f>
        <v>49874</v>
      </c>
      <c r="C47" s="31">
        <v>0</v>
      </c>
      <c r="D47" s="31">
        <v>0</v>
      </c>
      <c r="E47" s="18">
        <v>0</v>
      </c>
      <c r="F47" s="36">
        <f>INDEX('Trayectorias B'!$C$5:$I$45,40,$B$5)</f>
        <v>3947.6092636086901</v>
      </c>
      <c r="G47" s="31">
        <f t="shared" si="0"/>
        <v>0</v>
      </c>
      <c r="H47" s="18">
        <f>-Amortización!D43</f>
        <v>-5106.0609171583947</v>
      </c>
      <c r="I47" s="31">
        <f t="shared" si="1"/>
        <v>-20156733.377124764</v>
      </c>
      <c r="J47" s="39" t="str">
        <f>IFERROR(MATCH(A47,'B Supuestos'!$D$20:$D$23,0),"")</f>
        <v/>
      </c>
      <c r="K47" s="36" t="str">
        <f>IF(J47="","",INDEX('Trayectorias B'!$C$5:$I$45,A47-3,$B$5))</f>
        <v/>
      </c>
      <c r="L47" s="36" t="str">
        <f>IF(J47="","",K47*(1+'B Supuestos'!$B$12))</f>
        <v/>
      </c>
      <c r="M47" s="18" t="str">
        <f>IF(J47="","",INDEX('B Supuestos'!$F$20:$F$23,J47))</f>
        <v/>
      </c>
      <c r="N47" s="31">
        <f t="shared" si="2"/>
        <v>0</v>
      </c>
      <c r="O47" s="31">
        <f t="shared" si="3"/>
        <v>-20156733.377124764</v>
      </c>
      <c r="P47" s="31">
        <f t="shared" si="4"/>
        <v>-20156733.377124764</v>
      </c>
      <c r="Q47" s="31">
        <f t="shared" si="5"/>
        <v>-20156733.377124764</v>
      </c>
      <c r="R47" s="31">
        <f t="shared" si="6"/>
        <v>-20156733.377124764</v>
      </c>
    </row>
    <row r="48" spans="1:18" x14ac:dyDescent="0.3">
      <c r="A48" s="57">
        <v>40</v>
      </c>
      <c r="B48" s="58">
        <f>'Trayectorias TRM'!B45</f>
        <v>49966</v>
      </c>
      <c r="C48" s="59">
        <v>0</v>
      </c>
      <c r="D48" s="59">
        <v>0</v>
      </c>
      <c r="E48" s="60">
        <v>0</v>
      </c>
      <c r="F48" s="46">
        <f>INDEX('Trayectorias B'!$C$5:$I$45,41,$B$5)</f>
        <v>3994.06444981708</v>
      </c>
      <c r="G48" s="59">
        <f t="shared" si="0"/>
        <v>0</v>
      </c>
      <c r="H48" s="60">
        <f>-Amortización!D44</f>
        <v>-5106.0609171583947</v>
      </c>
      <c r="I48" s="59">
        <f t="shared" si="1"/>
        <v>-20393936.38782274</v>
      </c>
      <c r="J48" s="57">
        <f>IFERROR(MATCH(A48,'B Supuestos'!$D$20:$D$23,0),"")</f>
        <v>4</v>
      </c>
      <c r="K48" s="46">
        <f>IF(J48="","",INDEX('Trayectorias B'!$C$5:$I$45,A48-3,$B$5))</f>
        <v>3548.8585985405098</v>
      </c>
      <c r="L48" s="46">
        <f>IF(J48="","",K48*(1+'B Supuestos'!$B$12))</f>
        <v>3836.9193128626525</v>
      </c>
      <c r="M48" s="60">
        <f>IF(J48="","",INDEX('B Supuestos'!$F$20:$F$23,J48))</f>
        <v>15318.182751475184</v>
      </c>
      <c r="N48" s="59">
        <f t="shared" si="2"/>
        <v>2407177.9263735162</v>
      </c>
      <c r="O48" s="59">
        <f t="shared" si="3"/>
        <v>-20393936.38782274</v>
      </c>
      <c r="P48" s="59">
        <f t="shared" si="4"/>
        <v>-17986758.461449225</v>
      </c>
      <c r="Q48" s="59">
        <f t="shared" si="5"/>
        <v>-20393936.38782274</v>
      </c>
      <c r="R48" s="59">
        <f t="shared" si="6"/>
        <v>-17986758.461449225</v>
      </c>
    </row>
    <row r="49" spans="1:18" x14ac:dyDescent="0.3">
      <c r="A49" s="32" t="s">
        <v>76</v>
      </c>
      <c r="B49" s="33"/>
      <c r="C49" s="35">
        <f>SUM(C8:C48)</f>
        <v>-400000000</v>
      </c>
      <c r="D49" s="35">
        <f>SUM(D8:D48)</f>
        <v>40000000</v>
      </c>
      <c r="E49" s="34">
        <f>SUM(E8:E48)</f>
        <v>113397.61298024676</v>
      </c>
      <c r="F49" s="33"/>
      <c r="G49" s="35">
        <f>SUM(G8:G48)</f>
        <v>360000000</v>
      </c>
      <c r="H49" s="34">
        <f>SUM(H8:H48)</f>
        <v>-204242.43668633595</v>
      </c>
      <c r="I49" s="35">
        <f>SUM(I8:I48)</f>
        <v>-739709501.3835901</v>
      </c>
      <c r="J49" s="33"/>
      <c r="K49" s="33"/>
      <c r="L49" s="33"/>
      <c r="M49" s="33"/>
      <c r="N49" s="35">
        <f>SUM(N8:N48)</f>
        <v>-13206284.232380606</v>
      </c>
      <c r="O49" s="35">
        <f>SUM(O8:O48)</f>
        <v>-739709501.3835901</v>
      </c>
      <c r="P49" s="35">
        <f>SUM(P8:P48)</f>
        <v>-752915785.61597073</v>
      </c>
      <c r="Q49" s="35">
        <f>SUM(Q8:Q48)</f>
        <v>-379709501.38359028</v>
      </c>
      <c r="R49" s="35">
        <f>SUM(R8:R48)</f>
        <v>-392915785.61597085</v>
      </c>
    </row>
    <row r="51" spans="1:18" ht="15.6" x14ac:dyDescent="0.3">
      <c r="A51" s="12" t="s">
        <v>331</v>
      </c>
    </row>
    <row r="52" spans="1:18" ht="30" customHeight="1" x14ac:dyDescent="0.3">
      <c r="A52" s="2" t="s">
        <v>125</v>
      </c>
      <c r="B52" s="2" t="s">
        <v>332</v>
      </c>
      <c r="C52" s="2" t="s">
        <v>333</v>
      </c>
      <c r="D52" s="2" t="s">
        <v>334</v>
      </c>
    </row>
    <row r="53" spans="1:18" ht="30" customHeight="1" x14ac:dyDescent="0.3">
      <c r="A53" s="15" t="s">
        <v>335</v>
      </c>
      <c r="B53" s="31">
        <f>-SUM(Q9:Q48)</f>
        <v>739709501.3835901</v>
      </c>
      <c r="C53" s="31">
        <f>-SUM(R9:R48)</f>
        <v>752915785.61597073</v>
      </c>
      <c r="D53" s="31">
        <f>C53-B53</f>
        <v>13206284.232380629</v>
      </c>
    </row>
    <row r="54" spans="1:18" ht="30" customHeight="1" x14ac:dyDescent="0.3">
      <c r="A54" s="15" t="s">
        <v>336</v>
      </c>
      <c r="B54" s="31">
        <f>-SUM(Q33:Q48)</f>
        <v>295564877.28095639</v>
      </c>
      <c r="C54" s="31">
        <f>-SUM(R33:R48)</f>
        <v>308771161.51333702</v>
      </c>
      <c r="D54" s="31">
        <f>C54-B54</f>
        <v>13206284.232380629</v>
      </c>
    </row>
    <row r="55" spans="1:18" ht="30" customHeight="1" x14ac:dyDescent="0.3">
      <c r="A55" s="15" t="s">
        <v>337</v>
      </c>
      <c r="B55" s="19">
        <f>(1+IRR(Q8:Q48))^4-1</f>
        <v>0.17357895645576193</v>
      </c>
      <c r="C55" s="19">
        <f>(1+IRR(R8:R48))^4-1</f>
        <v>0.17692405321835203</v>
      </c>
      <c r="D55" s="19">
        <f>C55-B55</f>
        <v>3.345096762590094E-3</v>
      </c>
    </row>
    <row r="56" spans="1:18" ht="30" customHeight="1" x14ac:dyDescent="0.3">
      <c r="A56" s="15" t="s">
        <v>338</v>
      </c>
      <c r="B56" s="31">
        <f>-NPV('B Supuestos'!$B$14,Q9:Q48)</f>
        <v>419042082.22371435</v>
      </c>
      <c r="C56" s="31">
        <f>-NPV('B Supuestos'!$B$14,R9:R48)</f>
        <v>424372059.51450545</v>
      </c>
      <c r="D56" s="31">
        <f>C56-B56</f>
        <v>5329977.2907910943</v>
      </c>
    </row>
    <row r="57" spans="1:18" ht="30" customHeight="1" x14ac:dyDescent="0.3">
      <c r="A57" s="15" t="s">
        <v>339</v>
      </c>
      <c r="B57" s="31">
        <v>0</v>
      </c>
      <c r="C57" s="31">
        <f>SUM(N8:N48)</f>
        <v>-13206284.232380606</v>
      </c>
      <c r="D57" s="31">
        <f>C57-B57</f>
        <v>-13206284.232380606</v>
      </c>
    </row>
    <row r="58" spans="1:18" ht="30" customHeight="1" x14ac:dyDescent="0.3">
      <c r="A58" s="15" t="s">
        <v>340</v>
      </c>
      <c r="B58" s="29" t="str">
        <f>IF(ABS(C8+D8+G8)&lt;1,"Correcto","Revisar")</f>
        <v>Correcto</v>
      </c>
    </row>
    <row r="61" spans="1:18" ht="15.6" x14ac:dyDescent="0.3">
      <c r="A61" s="12" t="s">
        <v>341</v>
      </c>
    </row>
    <row r="62" spans="1:18" ht="66" customHeight="1" x14ac:dyDescent="0.3">
      <c r="A62" s="2" t="s">
        <v>251</v>
      </c>
      <c r="B62" s="2" t="s">
        <v>342</v>
      </c>
      <c r="C62" s="2" t="s">
        <v>343</v>
      </c>
      <c r="D62" s="2" t="s">
        <v>344</v>
      </c>
      <c r="E62" s="2" t="s">
        <v>345</v>
      </c>
      <c r="F62" s="2" t="s">
        <v>346</v>
      </c>
      <c r="G62" s="2" t="s">
        <v>347</v>
      </c>
      <c r="H62" s="2" t="s">
        <v>348</v>
      </c>
      <c r="I62" s="2" t="s">
        <v>349</v>
      </c>
      <c r="J62" s="2" t="s">
        <v>350</v>
      </c>
      <c r="K62" s="2" t="s">
        <v>261</v>
      </c>
      <c r="L62" s="2" t="s">
        <v>262</v>
      </c>
      <c r="M62" s="2" t="s">
        <v>351</v>
      </c>
      <c r="N62" s="2" t="s">
        <v>352</v>
      </c>
      <c r="O62" s="2" t="s">
        <v>353</v>
      </c>
      <c r="P62" s="2" t="s">
        <v>354</v>
      </c>
    </row>
    <row r="63" spans="1:18" ht="30" customHeight="1" x14ac:dyDescent="0.3">
      <c r="A63" s="15" t="s">
        <v>264</v>
      </c>
      <c r="B63" s="36">
        <f>INDEX('Trayectorias B'!$C$5:$I$45,25,1)</f>
        <v>3826.65510870554</v>
      </c>
      <c r="C63" s="36">
        <f>INDEX('Trayectorias B'!$C$5:$I$45,41,1)</f>
        <v>2915.2256893553599</v>
      </c>
      <c r="D63" s="49">
        <f t="shared" ref="D63:D69" si="7">C63/B63-1</f>
        <v>-0.23817913908068222</v>
      </c>
      <c r="E63" s="31">
        <f>-SUM('Flujos escenarios B'!B6:B45)</f>
        <v>694784983.42263865</v>
      </c>
      <c r="F63" s="31">
        <f>-SUM('Flujos escenarios B'!C6:C45)</f>
        <v>725063298.42739451</v>
      </c>
      <c r="G63" s="31">
        <f t="shared" ref="G63:G69" si="8">E63-F63</f>
        <v>-30278315.004755855</v>
      </c>
      <c r="H63" s="31">
        <f>-SUM('Flujos escenarios B'!B30:B45)</f>
        <v>265503163.56329152</v>
      </c>
      <c r="I63" s="31">
        <f>-SUM('Flujos escenarios B'!C30:C45)</f>
        <v>295781478.5680474</v>
      </c>
      <c r="J63" s="31">
        <f>SUMIF('B.2 Escenarios'!$A$5:$A$32,A63,'B.2 Escenarios'!$L$5:$L$32)</f>
        <v>289783926.18405437</v>
      </c>
      <c r="K63" s="49">
        <f t="shared" ref="K63:K69" si="9">H63/J63-1</f>
        <v>-8.378919749103364E-2</v>
      </c>
      <c r="L63" s="49">
        <f t="shared" ref="L63:L69" si="10">I63/J63-1</f>
        <v>2.0696635810585784E-2</v>
      </c>
      <c r="M63" s="19">
        <f>(1+IRR('Flujos escenarios B'!B5:B45))^4-1</f>
        <v>0.15575436838887424</v>
      </c>
      <c r="N63" s="19">
        <f>(1+IRR('Flujos escenarios B'!C5:C45))^4-1</f>
        <v>0.16325205342618609</v>
      </c>
      <c r="O63" s="31">
        <f>-NPV('B Supuestos'!$B$14,'Flujos escenarios B'!B6:B45)</f>
        <v>394674566.56753093</v>
      </c>
      <c r="P63" s="31">
        <f>-NPV('B Supuestos'!$B$14,'Flujos escenarios B'!C6:C45)</f>
        <v>406138852.59913719</v>
      </c>
    </row>
    <row r="64" spans="1:18" ht="30" customHeight="1" x14ac:dyDescent="0.3">
      <c r="A64" s="15" t="s">
        <v>265</v>
      </c>
      <c r="B64" s="36">
        <f>INDEX('Trayectorias B'!$C$5:$I$45,25,2)</f>
        <v>3695.2577510003298</v>
      </c>
      <c r="C64" s="36">
        <f>INDEX('Trayectorias B'!$C$5:$I$45,41,2)</f>
        <v>3994.06444981708</v>
      </c>
      <c r="D64" s="49">
        <f t="shared" si="7"/>
        <v>8.0862207443002099E-2</v>
      </c>
      <c r="E64" s="31">
        <f>-SUM('Flujos escenarios B'!D6:D45)</f>
        <v>739709501.3835901</v>
      </c>
      <c r="F64" s="31">
        <f>-SUM('Flujos escenarios B'!E6:E45)</f>
        <v>752915785.61597073</v>
      </c>
      <c r="G64" s="31">
        <f t="shared" si="8"/>
        <v>-13206284.232380629</v>
      </c>
      <c r="H64" s="31">
        <f>-SUM('Flujos escenarios B'!D30:D45)</f>
        <v>295564877.28095639</v>
      </c>
      <c r="I64" s="31">
        <f>-SUM('Flujos escenarios B'!E30:E45)</f>
        <v>308771161.51333702</v>
      </c>
      <c r="J64" s="31">
        <f>SUMIF('B.2 Escenarios'!$A$5:$A$32,A64,'B.2 Escenarios'!$L$5:$L$32)</f>
        <v>315830180.53245538</v>
      </c>
      <c r="K64" s="49">
        <f t="shared" si="9"/>
        <v>-6.41651890814674E-2</v>
      </c>
      <c r="L64" s="49">
        <f t="shared" si="10"/>
        <v>-2.2350679112482674E-2</v>
      </c>
      <c r="M64" s="19">
        <f>(1+IRR('Flujos escenarios B'!D5:D45))^4-1</f>
        <v>0.17357895645576193</v>
      </c>
      <c r="N64" s="19">
        <f>(1+IRR('Flujos escenarios B'!E5:E45))^4-1</f>
        <v>0.17692405321835203</v>
      </c>
      <c r="O64" s="31">
        <f>-NPV('B Supuestos'!$B$14,'Flujos escenarios B'!D6:D45)</f>
        <v>419042082.22371435</v>
      </c>
      <c r="P64" s="31">
        <f>-NPV('B Supuestos'!$B$14,'Flujos escenarios B'!E6:E45)</f>
        <v>424372059.51450545</v>
      </c>
    </row>
    <row r="65" spans="1:16" ht="30" customHeight="1" x14ac:dyDescent="0.3">
      <c r="A65" s="15" t="s">
        <v>266</v>
      </c>
      <c r="B65" s="36">
        <f>INDEX('Trayectorias B'!$C$5:$I$45,25,3)</f>
        <v>3823.13883615244</v>
      </c>
      <c r="C65" s="36">
        <f>INDEX('Trayectorias B'!$C$5:$I$45,41,3)</f>
        <v>5759.8568232893704</v>
      </c>
      <c r="D65" s="49">
        <f t="shared" si="7"/>
        <v>0.50657799000729442</v>
      </c>
      <c r="E65" s="31">
        <f>-SUM('Flujos escenarios B'!F6:F45)</f>
        <v>829912865.38475108</v>
      </c>
      <c r="F65" s="31">
        <f>-SUM('Flujos escenarios B'!G6:G45)</f>
        <v>823892143.65566254</v>
      </c>
      <c r="G65" s="31">
        <f t="shared" si="8"/>
        <v>6020721.7290885448</v>
      </c>
      <c r="H65" s="31">
        <f>-SUM('Flujos escenarios B'!F30:F45)</f>
        <v>401766468.38662732</v>
      </c>
      <c r="I65" s="31">
        <f>-SUM('Flujos escenarios B'!G30:G45)</f>
        <v>395745746.65753877</v>
      </c>
      <c r="J65" s="31">
        <f>SUMIF('B.2 Escenarios'!$A$5:$A$32,A65,'B.2 Escenarios'!$L$5:$L$32)</f>
        <v>419952496.18590784</v>
      </c>
      <c r="K65" s="49">
        <f t="shared" si="9"/>
        <v>-4.3304964167256155E-2</v>
      </c>
      <c r="L65" s="49">
        <f t="shared" si="10"/>
        <v>-5.7641637442852667E-2</v>
      </c>
      <c r="M65" s="19">
        <f>(1+IRR('Flujos escenarios B'!F5:F45))^4-1</f>
        <v>0.18996015738243122</v>
      </c>
      <c r="N65" s="19">
        <f>(1+IRR('Flujos escenarios B'!G5:G45))^4-1</f>
        <v>0.18826807207325458</v>
      </c>
      <c r="O65" s="31">
        <f>-NPV('B Supuestos'!$B$14,'Flujos escenarios B'!F6:F45)</f>
        <v>448720952.51510698</v>
      </c>
      <c r="P65" s="31">
        <f>-NPV('B Supuestos'!$B$14,'Flujos escenarios B'!G6:G45)</f>
        <v>445862473.08685315</v>
      </c>
    </row>
    <row r="66" spans="1:16" ht="30" customHeight="1" x14ac:dyDescent="0.3">
      <c r="A66" s="15" t="s">
        <v>267</v>
      </c>
      <c r="B66" s="36">
        <f>INDEX('Trayectorias B'!$C$5:$I$45,25,4)</f>
        <v>3590.86965609546</v>
      </c>
      <c r="C66" s="36">
        <f>INDEX('Trayectorias B'!$C$5:$I$45,41,4)</f>
        <v>2741.3926416121899</v>
      </c>
      <c r="D66" s="49">
        <f t="shared" si="7"/>
        <v>-0.23656581715275926</v>
      </c>
      <c r="E66" s="31">
        <f>-SUM('Flujos escenarios B'!H6:H45)</f>
        <v>684768275.34864986</v>
      </c>
      <c r="F66" s="31">
        <f>-SUM('Flujos escenarios B'!I6:I45)</f>
        <v>714024627.02552998</v>
      </c>
      <c r="G66" s="31">
        <f t="shared" si="8"/>
        <v>-29256351.676880121</v>
      </c>
      <c r="H66" s="31">
        <f>-SUM('Flujos escenarios B'!H30:H45)</f>
        <v>262170324.84875879</v>
      </c>
      <c r="I66" s="31">
        <f>-SUM('Flujos escenarios B'!I30:I45)</f>
        <v>291426676.525639</v>
      </c>
      <c r="J66" s="31">
        <f>SUMIF('B.2 Escenarios'!$A$5:$A$32,A66,'B.2 Escenarios'!$L$5:$L$32)</f>
        <v>288488083.25678337</v>
      </c>
      <c r="K66" s="49">
        <f t="shared" si="9"/>
        <v>-9.1226500973349167E-2</v>
      </c>
      <c r="L66" s="49">
        <f t="shared" si="10"/>
        <v>1.0186185979266238E-2</v>
      </c>
      <c r="M66" s="19">
        <f>(1+IRR('Flujos escenarios B'!H5:H45))^4-1</f>
        <v>0.15228112348634681</v>
      </c>
      <c r="N66" s="19">
        <f>(1+IRR('Flujos escenarios B'!I5:I45))^4-1</f>
        <v>0.15924786264138957</v>
      </c>
      <c r="O66" s="31">
        <f>-NPV('B Supuestos'!$B$14,'Flujos escenarios B'!H6:H45)</f>
        <v>389816406.61642355</v>
      </c>
      <c r="P66" s="31">
        <f>-NPV('B Supuestos'!$B$14,'Flujos escenarios B'!I6:I45)</f>
        <v>400355329.10242707</v>
      </c>
    </row>
    <row r="67" spans="1:16" ht="30" customHeight="1" x14ac:dyDescent="0.3">
      <c r="A67" s="15" t="s">
        <v>268</v>
      </c>
      <c r="B67" s="36">
        <f>INDEX('Trayectorias B'!$C$5:$I$45,25,5)</f>
        <v>3784.6601592091301</v>
      </c>
      <c r="C67" s="36">
        <f>INDEX('Trayectorias B'!$C$5:$I$45,41,5)</f>
        <v>4141.8056397933597</v>
      </c>
      <c r="D67" s="49">
        <f t="shared" si="7"/>
        <v>9.4366591862996119E-2</v>
      </c>
      <c r="E67" s="31">
        <f>-SUM('Flujos escenarios B'!J6:J45)</f>
        <v>790124341.44033039</v>
      </c>
      <c r="F67" s="31">
        <f>-SUM('Flujos escenarios B'!K6:K45)</f>
        <v>806568205.56648576</v>
      </c>
      <c r="G67" s="31">
        <f t="shared" si="8"/>
        <v>-16443864.126155376</v>
      </c>
      <c r="H67" s="31">
        <f>-SUM('Flujos escenarios B'!J30:J45)</f>
        <v>361591277.98089343</v>
      </c>
      <c r="I67" s="31">
        <f>-SUM('Flujos escenarios B'!K30:K45)</f>
        <v>378035142.10704887</v>
      </c>
      <c r="J67" s="31">
        <f>SUMIF('B.2 Escenarios'!$A$5:$A$32,A67,'B.2 Escenarios'!$L$5:$L$32)</f>
        <v>389199774.3643949</v>
      </c>
      <c r="K67" s="49">
        <f t="shared" si="9"/>
        <v>-7.0936568317875093E-2</v>
      </c>
      <c r="L67" s="49">
        <f t="shared" si="10"/>
        <v>-2.8686122122190572E-2</v>
      </c>
      <c r="M67" s="19">
        <f>(1+IRR('Flujos escenarios B'!J5:J45))^4-1</f>
        <v>0.17682755940982364</v>
      </c>
      <c r="N67" s="19">
        <f>(1+IRR('Flujos escenarios B'!K5:K45))^4-1</f>
        <v>0.17907178470347218</v>
      </c>
      <c r="O67" s="31">
        <f>-NPV('B Supuestos'!$B$14,'Flujos escenarios B'!J6:J45)</f>
        <v>429252754.81814593</v>
      </c>
      <c r="P67" s="31">
        <f>-NPV('B Supuestos'!$B$14,'Flujos escenarios B'!K6:K45)</f>
        <v>433760551.86615723</v>
      </c>
    </row>
    <row r="68" spans="1:16" ht="30" customHeight="1" x14ac:dyDescent="0.3">
      <c r="A68" s="15" t="s">
        <v>269</v>
      </c>
      <c r="B68" s="36">
        <f>INDEX('Trayectorias B'!$C$5:$I$45,25,6)</f>
        <v>3691.56839513352</v>
      </c>
      <c r="C68" s="36">
        <f>INDEX('Trayectorias B'!$C$5:$I$45,41,6)</f>
        <v>5659.3114562028904</v>
      </c>
      <c r="D68" s="49">
        <f t="shared" si="7"/>
        <v>0.53303714043694406</v>
      </c>
      <c r="E68" s="31">
        <f>-SUM('Flujos escenarios B'!L6:L45)</f>
        <v>824058037.29464304</v>
      </c>
      <c r="F68" s="31">
        <f>-SUM('Flujos escenarios B'!M6:M45)</f>
        <v>816826097.97714233</v>
      </c>
      <c r="G68" s="31">
        <f t="shared" si="8"/>
        <v>7231939.3175007105</v>
      </c>
      <c r="H68" s="31">
        <f>-SUM('Flujos escenarios B'!L30:L45)</f>
        <v>402330540.1969353</v>
      </c>
      <c r="I68" s="31">
        <f>-SUM('Flujos escenarios B'!M30:M45)</f>
        <v>395098600.87943465</v>
      </c>
      <c r="J68" s="31">
        <f>SUMIF('B.2 Escenarios'!$A$5:$A$32,A68,'B.2 Escenarios'!$L$5:$L$32)</f>
        <v>406881840.18794429</v>
      </c>
      <c r="K68" s="49">
        <f t="shared" si="9"/>
        <v>-1.1185802710945936E-2</v>
      </c>
      <c r="L68" s="49">
        <f t="shared" si="10"/>
        <v>-2.8959855527262657E-2</v>
      </c>
      <c r="M68" s="19">
        <f>(1+IRR('Flujos escenarios B'!L5:L45))^4-1</f>
        <v>0.18074057648801301</v>
      </c>
      <c r="N68" s="19">
        <f>(1+IRR('Flujos escenarios B'!M5:M45))^4-1</f>
        <v>0.17892737032723915</v>
      </c>
      <c r="O68" s="31">
        <f>-NPV('B Supuestos'!$B$14,'Flujos escenarios B'!L6:L45)</f>
        <v>437853731.38501209</v>
      </c>
      <c r="P68" s="31">
        <f>-NPV('B Supuestos'!$B$14,'Flujos escenarios B'!M6:M45)</f>
        <v>434661789.36449885</v>
      </c>
    </row>
    <row r="69" spans="1:16" ht="30" customHeight="1" x14ac:dyDescent="0.3">
      <c r="A69" s="15" t="s">
        <v>270</v>
      </c>
      <c r="B69" s="36">
        <f>INDEX('Trayectorias B'!$C$5:$I$45,25,7)</f>
        <v>3708.3528914352801</v>
      </c>
      <c r="C69" s="36">
        <f>INDEX('Trayectorias B'!$C$5:$I$45,41,7)</f>
        <v>4000.78614597366</v>
      </c>
      <c r="D69" s="49">
        <f t="shared" si="7"/>
        <v>7.8857989813692297E-2</v>
      </c>
      <c r="E69" s="31">
        <f>-SUM('Flujos escenarios B'!N6:N45)</f>
        <v>745000288.52127862</v>
      </c>
      <c r="F69" s="31">
        <f>-SUM('Flujos escenarios B'!O6:O45)</f>
        <v>759501037.99284792</v>
      </c>
      <c r="G69" s="31">
        <f t="shared" si="8"/>
        <v>-14500749.4715693</v>
      </c>
      <c r="H69" s="31">
        <f>-SUM('Flujos escenarios B'!N30:N45)</f>
        <v>315502748.04085094</v>
      </c>
      <c r="I69" s="31">
        <f>-SUM('Flujos escenarios B'!O30:O45)</f>
        <v>330003497.51242</v>
      </c>
      <c r="J69" s="31">
        <f>SUMIF('B.2 Escenarios'!$A$5:$A$32,A69,'B.2 Escenarios'!$L$5:$L$32)</f>
        <v>337085708.09120363</v>
      </c>
      <c r="K69" s="49">
        <f t="shared" si="9"/>
        <v>-6.4028107784721344E-2</v>
      </c>
      <c r="L69" s="49">
        <f t="shared" si="10"/>
        <v>-2.1010118224494501E-2</v>
      </c>
      <c r="M69" s="19">
        <f>(1+IRR('Flujos escenarios B'!N5:N45))^4-1</f>
        <v>0.16939587389087518</v>
      </c>
      <c r="N69" s="19">
        <f>(1+IRR('Flujos escenarios B'!O5:O45))^4-1</f>
        <v>0.17248706296584637</v>
      </c>
      <c r="O69" s="31">
        <f>-NPV('B Supuestos'!$B$14,'Flujos escenarios B'!N6:N45)</f>
        <v>415102475.50841135</v>
      </c>
      <c r="P69" s="31">
        <f>-NPV('B Supuestos'!$B$14,'Flujos escenarios B'!O6:O45)</f>
        <v>420266814.8772552</v>
      </c>
    </row>
  </sheetData>
  <mergeCells count="2">
    <mergeCell ref="A2:L2"/>
    <mergeCell ref="B4:D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'Trayectorias B'!$C$4:$I$4</xm:f>
          </x14:formula1>
          <x14:formula2>
            <xm:f>0</xm:f>
          </x14:formula2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8"/>
  <sheetViews>
    <sheetView zoomScaleNormal="100" workbookViewId="0">
      <selection activeCell="A57" sqref="A57:I57"/>
    </sheetView>
  </sheetViews>
  <sheetFormatPr baseColWidth="10" defaultColWidth="8.6640625" defaultRowHeight="14.4" x14ac:dyDescent="0.3"/>
  <cols>
    <col min="1" max="1" width="46" customWidth="1"/>
    <col min="2" max="2" width="34" customWidth="1"/>
    <col min="3" max="4" width="18" customWidth="1"/>
    <col min="5" max="5" width="20" customWidth="1"/>
    <col min="6" max="8" width="18" customWidth="1"/>
    <col min="9" max="9" width="14" customWidth="1"/>
  </cols>
  <sheetData>
    <row r="1" spans="1:10" ht="17.399999999999999" x14ac:dyDescent="0.3">
      <c r="A1" s="13" t="s">
        <v>355</v>
      </c>
    </row>
    <row r="2" spans="1:10" ht="43.5" customHeight="1" x14ac:dyDescent="0.3">
      <c r="A2" s="69" t="s">
        <v>356</v>
      </c>
      <c r="B2" s="69"/>
      <c r="C2" s="69"/>
      <c r="D2" s="69"/>
      <c r="E2" s="69"/>
      <c r="F2" s="69"/>
      <c r="G2" s="69"/>
      <c r="H2" s="69"/>
      <c r="I2" s="69"/>
      <c r="J2" s="69"/>
    </row>
    <row r="4" spans="1:10" ht="43.5" customHeight="1" x14ac:dyDescent="0.3">
      <c r="A4" s="2" t="s">
        <v>125</v>
      </c>
      <c r="B4" s="2" t="s">
        <v>357</v>
      </c>
      <c r="C4" s="2" t="s">
        <v>358</v>
      </c>
      <c r="D4" s="2" t="s">
        <v>359</v>
      </c>
      <c r="E4" s="2" t="s">
        <v>360</v>
      </c>
      <c r="F4" s="2" t="s">
        <v>361</v>
      </c>
      <c r="G4" s="2" t="s">
        <v>362</v>
      </c>
    </row>
    <row r="5" spans="1:10" ht="30" customHeight="1" x14ac:dyDescent="0.3">
      <c r="A5" s="15" t="s">
        <v>363</v>
      </c>
      <c r="B5" s="31">
        <v>778270534.54441798</v>
      </c>
      <c r="C5" s="31">
        <v>791575632.909549</v>
      </c>
      <c r="D5" s="31">
        <v>813941255.41895294</v>
      </c>
      <c r="E5" s="31">
        <v>778035735.58891201</v>
      </c>
      <c r="F5" s="31">
        <v>791082215.04338396</v>
      </c>
      <c r="G5" s="31">
        <v>812953875.87698305</v>
      </c>
    </row>
    <row r="6" spans="1:10" ht="30" customHeight="1" x14ac:dyDescent="0.3">
      <c r="A6" s="15" t="s">
        <v>364</v>
      </c>
      <c r="B6" s="31">
        <v>182937488.92442301</v>
      </c>
      <c r="C6" s="31">
        <v>183365188.66693401</v>
      </c>
      <c r="D6" s="31">
        <v>184794956.73087499</v>
      </c>
      <c r="E6" s="31">
        <v>183233049.70352399</v>
      </c>
      <c r="F6" s="31">
        <v>183424853.498564</v>
      </c>
      <c r="G6" s="31">
        <v>184912836.48923299</v>
      </c>
    </row>
    <row r="7" spans="1:10" ht="30" customHeight="1" x14ac:dyDescent="0.3">
      <c r="A7" s="15" t="s">
        <v>365</v>
      </c>
      <c r="B7" s="31">
        <v>1115947414.6301301</v>
      </c>
      <c r="C7" s="31">
        <v>1127548151.4758999</v>
      </c>
      <c r="D7" s="31">
        <v>1154124901.4280601</v>
      </c>
      <c r="E7" s="31">
        <v>1112005453.9233799</v>
      </c>
      <c r="F7" s="31">
        <v>1125801593.89835</v>
      </c>
      <c r="G7" s="31">
        <v>1148851993.1865001</v>
      </c>
    </row>
    <row r="8" spans="1:10" ht="30" customHeight="1" x14ac:dyDescent="0.3">
      <c r="A8" s="15" t="s">
        <v>366</v>
      </c>
      <c r="B8" s="31">
        <v>1319488667.2680099</v>
      </c>
      <c r="C8" s="31">
        <v>1334508615.4124701</v>
      </c>
      <c r="D8" s="31">
        <v>1356946281.0173099</v>
      </c>
      <c r="E8" s="31">
        <v>1325474350.9609499</v>
      </c>
      <c r="F8" s="31">
        <v>1338246732.82809</v>
      </c>
      <c r="G8" s="31">
        <v>1359213196.3710001</v>
      </c>
    </row>
    <row r="9" spans="1:10" ht="30" customHeight="1" x14ac:dyDescent="0.3">
      <c r="A9" s="15" t="s">
        <v>367</v>
      </c>
      <c r="B9" s="31">
        <v>1244401608.8643999</v>
      </c>
      <c r="C9" s="31">
        <v>1257525215.6326799</v>
      </c>
      <c r="D9" s="31">
        <v>1281039551.8529699</v>
      </c>
      <c r="E9" s="31">
        <v>1245702353.8419099</v>
      </c>
      <c r="F9" s="31">
        <v>1257190764.2872701</v>
      </c>
      <c r="G9" s="31">
        <v>1280616052.2799799</v>
      </c>
    </row>
    <row r="10" spans="1:10" ht="30" customHeight="1" x14ac:dyDescent="0.3">
      <c r="A10" s="15" t="s">
        <v>368</v>
      </c>
      <c r="B10" s="31">
        <v>337487649.82643503</v>
      </c>
      <c r="C10" s="31">
        <v>350792748.19156498</v>
      </c>
      <c r="D10" s="31">
        <v>373158370.70096999</v>
      </c>
      <c r="E10" s="31">
        <v>338108596.24370301</v>
      </c>
      <c r="F10" s="31">
        <v>351155075.69817603</v>
      </c>
      <c r="G10" s="31">
        <v>373026736.53177398</v>
      </c>
    </row>
    <row r="11" spans="1:10" ht="30" customHeight="1" x14ac:dyDescent="0.3">
      <c r="A11" s="15" t="s">
        <v>369</v>
      </c>
      <c r="B11" s="31">
        <v>119647683.031552</v>
      </c>
      <c r="C11" s="31">
        <v>118080913.158814</v>
      </c>
      <c r="D11" s="31">
        <v>116767431.75534099</v>
      </c>
      <c r="E11" s="31">
        <v>120108578.266682</v>
      </c>
      <c r="F11" s="31">
        <v>118237062.877792</v>
      </c>
      <c r="G11" s="31">
        <v>116810665.60979401</v>
      </c>
    </row>
    <row r="12" spans="1:10" ht="30" customHeight="1" x14ac:dyDescent="0.3">
      <c r="A12" s="15" t="s">
        <v>370</v>
      </c>
      <c r="B12" s="31">
        <v>651345802.32470703</v>
      </c>
      <c r="C12" s="31">
        <v>658489035.28818595</v>
      </c>
      <c r="D12" s="31">
        <v>674093184.42033696</v>
      </c>
      <c r="E12" s="31">
        <v>655153615.22533095</v>
      </c>
      <c r="F12" s="31">
        <v>660869046.10171998</v>
      </c>
      <c r="G12" s="31">
        <v>675208085.24610603</v>
      </c>
    </row>
    <row r="13" spans="1:10" ht="30" customHeight="1" x14ac:dyDescent="0.3">
      <c r="A13" s="15" t="s">
        <v>371</v>
      </c>
      <c r="B13" s="49">
        <v>5.9629331649076002E-2</v>
      </c>
      <c r="C13" s="49">
        <v>0.101396343345813</v>
      </c>
      <c r="D13" s="49">
        <v>0.17184900272989301</v>
      </c>
      <c r="E13" s="49">
        <v>6.2298063926719202E-2</v>
      </c>
      <c r="F13" s="49">
        <v>0.103318723967866</v>
      </c>
      <c r="G13" s="49">
        <v>0.17204982585609299</v>
      </c>
    </row>
    <row r="14" spans="1:10" ht="30" customHeight="1" x14ac:dyDescent="0.3">
      <c r="A14" s="15" t="s">
        <v>372</v>
      </c>
      <c r="B14" s="49">
        <v>0.170317457360771</v>
      </c>
      <c r="C14" s="49">
        <v>0.13195077663059601</v>
      </c>
      <c r="D14" s="49">
        <v>3.2158913621809899E-2</v>
      </c>
      <c r="E14" s="49">
        <v>0.17375675865198201</v>
      </c>
      <c r="F14" s="49">
        <v>0.134969888632127</v>
      </c>
      <c r="G14" s="49">
        <v>3.28943136657266E-2</v>
      </c>
    </row>
    <row r="15" spans="1:10" ht="30" customHeight="1" x14ac:dyDescent="0.3">
      <c r="A15" s="15" t="s">
        <v>373</v>
      </c>
      <c r="B15" s="49">
        <v>0.35953888576477</v>
      </c>
      <c r="C15" s="49">
        <v>0.33316492690286797</v>
      </c>
      <c r="D15" s="49">
        <v>0.22820105132742699</v>
      </c>
      <c r="E15" s="49">
        <v>0.37369890448603599</v>
      </c>
      <c r="F15" s="49">
        <v>0.34483402074520098</v>
      </c>
      <c r="G15" s="49">
        <v>0.230150589221843</v>
      </c>
    </row>
    <row r="16" spans="1:10" ht="30" customHeight="1" x14ac:dyDescent="0.3">
      <c r="A16" s="15" t="s">
        <v>374</v>
      </c>
      <c r="B16" s="49">
        <v>0.52750899357668202</v>
      </c>
      <c r="C16" s="49">
        <v>0.45958378948353401</v>
      </c>
      <c r="D16" s="49">
        <v>0.25904830199983597</v>
      </c>
      <c r="E16" s="49">
        <v>0.54084650800981404</v>
      </c>
      <c r="F16" s="49">
        <v>0.47331585365365197</v>
      </c>
      <c r="G16" s="49">
        <v>0.26210396430343702</v>
      </c>
    </row>
    <row r="17" spans="1:7" ht="30" customHeight="1" x14ac:dyDescent="0.3">
      <c r="A17" s="15" t="s">
        <v>375</v>
      </c>
      <c r="B17" s="19">
        <v>0.17387099261500899</v>
      </c>
      <c r="C17" s="19">
        <v>0.176746241795213</v>
      </c>
      <c r="D17" s="19">
        <v>0.180775795517155</v>
      </c>
      <c r="E17" s="19">
        <v>0.17355538827845399</v>
      </c>
      <c r="F17" s="19">
        <v>0.17638725281579201</v>
      </c>
      <c r="G17" s="19">
        <v>0.18033367266140601</v>
      </c>
    </row>
    <row r="18" spans="1:7" ht="30" customHeight="1" x14ac:dyDescent="0.3">
      <c r="A18" s="15" t="s">
        <v>376</v>
      </c>
      <c r="B18" s="19">
        <v>0.26265012909790902</v>
      </c>
      <c r="C18" s="19">
        <v>0.26461475319691702</v>
      </c>
      <c r="D18" s="19">
        <v>0.26739721424177398</v>
      </c>
      <c r="E18" s="19">
        <v>0.26132417561754101</v>
      </c>
      <c r="F18" s="19">
        <v>0.26288897028595498</v>
      </c>
      <c r="G18" s="19">
        <v>0.26616925385423201</v>
      </c>
    </row>
    <row r="19" spans="1:7" ht="30" customHeight="1" x14ac:dyDescent="0.3">
      <c r="A19" s="15" t="s">
        <v>377</v>
      </c>
      <c r="B19" s="31">
        <v>429997885.94957</v>
      </c>
      <c r="C19" s="31">
        <v>434735246.19902003</v>
      </c>
      <c r="D19" s="31">
        <v>441891009.24880099</v>
      </c>
      <c r="E19" s="31">
        <v>429635584.49168998</v>
      </c>
      <c r="F19" s="31">
        <v>434278656.09338498</v>
      </c>
      <c r="G19" s="31">
        <v>441275491.64127398</v>
      </c>
    </row>
    <row r="21" spans="1:7" ht="30" customHeight="1" x14ac:dyDescent="0.3">
      <c r="A21" s="2" t="s">
        <v>378</v>
      </c>
      <c r="B21" s="2" t="s">
        <v>272</v>
      </c>
      <c r="C21" s="2" t="s">
        <v>315</v>
      </c>
      <c r="D21" s="2" t="s">
        <v>379</v>
      </c>
    </row>
    <row r="22" spans="1:7" ht="30" customHeight="1" x14ac:dyDescent="0.3">
      <c r="A22" s="15" t="s">
        <v>380</v>
      </c>
      <c r="B22" s="31">
        <v>-13305098.3651304</v>
      </c>
      <c r="C22" s="31">
        <v>-13046479.4544727</v>
      </c>
      <c r="D22" s="31">
        <v>-13187606.056317201</v>
      </c>
    </row>
    <row r="23" spans="1:7" ht="30" customHeight="1" x14ac:dyDescent="0.3">
      <c r="A23" s="15" t="s">
        <v>381</v>
      </c>
      <c r="B23" s="31">
        <v>-39419322.599195503</v>
      </c>
      <c r="C23" s="31">
        <v>-38986087.757787503</v>
      </c>
      <c r="D23" s="31">
        <v>-39048511.840452902</v>
      </c>
    </row>
    <row r="24" spans="1:7" ht="30" customHeight="1" x14ac:dyDescent="0.3">
      <c r="A24" s="15" t="s">
        <v>382</v>
      </c>
      <c r="B24" s="31">
        <v>14963554.410170199</v>
      </c>
      <c r="C24" s="31">
        <v>15428087.9882976</v>
      </c>
      <c r="D24" s="31">
        <v>15119397.145624399</v>
      </c>
    </row>
    <row r="25" spans="1:7" ht="30" customHeight="1" x14ac:dyDescent="0.3">
      <c r="A25" s="15" t="s">
        <v>383</v>
      </c>
      <c r="B25" s="49">
        <v>0.81699999999999995</v>
      </c>
      <c r="C25" s="49">
        <v>0.81294999999999995</v>
      </c>
      <c r="D25" s="49">
        <v>0.82420000000000004</v>
      </c>
    </row>
    <row r="26" spans="1:7" ht="30" customHeight="1" x14ac:dyDescent="0.3">
      <c r="A26" s="15" t="s">
        <v>384</v>
      </c>
      <c r="B26" s="31">
        <v>-35670720.874535002</v>
      </c>
      <c r="C26" s="31">
        <v>-34918140.288070798</v>
      </c>
      <c r="D26" s="31">
        <v>-35164239.820158303</v>
      </c>
    </row>
    <row r="27" spans="1:7" ht="30" customHeight="1" x14ac:dyDescent="0.3">
      <c r="A27" s="15" t="s">
        <v>385</v>
      </c>
      <c r="B27" s="49">
        <v>0.79384999999999994</v>
      </c>
      <c r="C27" s="49">
        <v>0.78795000000000004</v>
      </c>
      <c r="D27" s="49">
        <v>0.8014</v>
      </c>
    </row>
    <row r="28" spans="1:7" ht="30" customHeight="1" x14ac:dyDescent="0.3">
      <c r="A28" s="15" t="s">
        <v>386</v>
      </c>
      <c r="B28" s="49">
        <v>8.4979898306759102E-2</v>
      </c>
      <c r="C28" s="49">
        <v>8.5483824037071804E-2</v>
      </c>
      <c r="D28" s="49">
        <v>8.5830855775464607E-2</v>
      </c>
    </row>
    <row r="29" spans="1:7" ht="30" customHeight="1" x14ac:dyDescent="0.3">
      <c r="A29" s="15" t="s">
        <v>387</v>
      </c>
      <c r="B29" s="49">
        <v>3.8234713553085303E-2</v>
      </c>
      <c r="C29" s="49">
        <v>3.8241885450192997E-2</v>
      </c>
      <c r="D29" s="49">
        <v>4.0591342329303601E-2</v>
      </c>
    </row>
    <row r="30" spans="1:7" ht="30" customHeight="1" x14ac:dyDescent="0.3">
      <c r="A30" s="15" t="s">
        <v>299</v>
      </c>
      <c r="B30" s="19">
        <v>7.2499999999999995E-4</v>
      </c>
      <c r="C30" s="19">
        <v>1.325E-3</v>
      </c>
      <c r="D30" s="19">
        <v>3.5249999999999999E-3</v>
      </c>
    </row>
    <row r="31" spans="1:7" ht="30" customHeight="1" x14ac:dyDescent="0.3">
      <c r="A31" s="15" t="s">
        <v>301</v>
      </c>
      <c r="B31" s="19">
        <v>3.8100000000000002E-2</v>
      </c>
      <c r="C31" s="19">
        <v>3.9662500000000003E-2</v>
      </c>
      <c r="D31" s="19">
        <v>3.6587500000000002E-2</v>
      </c>
    </row>
    <row r="33" spans="1:9" ht="15.6" x14ac:dyDescent="0.3">
      <c r="A33" s="12" t="s">
        <v>388</v>
      </c>
    </row>
    <row r="34" spans="1:9" ht="43.5" customHeight="1" x14ac:dyDescent="0.3">
      <c r="A34" s="2" t="s">
        <v>230</v>
      </c>
      <c r="B34" s="2" t="s">
        <v>231</v>
      </c>
      <c r="C34" s="2" t="s">
        <v>389</v>
      </c>
      <c r="D34" s="2" t="s">
        <v>307</v>
      </c>
      <c r="E34" s="2" t="s">
        <v>390</v>
      </c>
      <c r="F34" s="2" t="s">
        <v>391</v>
      </c>
      <c r="G34" s="2" t="s">
        <v>392</v>
      </c>
      <c r="H34" s="2" t="s">
        <v>393</v>
      </c>
      <c r="I34" s="2" t="s">
        <v>394</v>
      </c>
    </row>
    <row r="35" spans="1:9" x14ac:dyDescent="0.3">
      <c r="A35" s="19">
        <v>0.06</v>
      </c>
      <c r="B35" s="19">
        <v>0.03</v>
      </c>
      <c r="C35" s="19">
        <v>2.91262135922329E-2</v>
      </c>
      <c r="D35" s="49">
        <v>0.46806249999999999</v>
      </c>
      <c r="E35" s="31">
        <v>-356466.22659260599</v>
      </c>
      <c r="F35" s="49">
        <v>0.56110000000000004</v>
      </c>
      <c r="G35" s="31">
        <v>778627000.77101099</v>
      </c>
      <c r="H35" s="31">
        <v>-1017724.59863949</v>
      </c>
      <c r="I35" s="19">
        <v>2.7625000000000002E-3</v>
      </c>
    </row>
    <row r="36" spans="1:9" x14ac:dyDescent="0.3">
      <c r="A36" s="19">
        <v>0.06</v>
      </c>
      <c r="B36" s="19">
        <v>4.4699999999999997E-2</v>
      </c>
      <c r="C36" s="19">
        <v>1.4645352732841999E-2</v>
      </c>
      <c r="D36" s="49">
        <v>0.51180000000000003</v>
      </c>
      <c r="E36" s="31">
        <v>3246413.06955125</v>
      </c>
      <c r="F36" s="49">
        <v>0.47639999999999999</v>
      </c>
      <c r="G36" s="31">
        <v>775024121.47486699</v>
      </c>
      <c r="H36" s="31">
        <v>8012536.9283693498</v>
      </c>
      <c r="I36" s="19">
        <v>3.8625E-3</v>
      </c>
    </row>
    <row r="37" spans="1:9" x14ac:dyDescent="0.3">
      <c r="A37" s="19">
        <v>0.06</v>
      </c>
      <c r="B37" s="19">
        <v>0.06</v>
      </c>
      <c r="C37" s="19">
        <v>0</v>
      </c>
      <c r="D37" s="49">
        <v>0.55700000000000005</v>
      </c>
      <c r="E37" s="31">
        <v>6890218.4108381104</v>
      </c>
      <c r="F37" s="49">
        <v>0.38795000000000002</v>
      </c>
      <c r="G37" s="31">
        <v>771380316.13357997</v>
      </c>
      <c r="H37" s="31">
        <v>16885097.0322592</v>
      </c>
      <c r="I37" s="19">
        <v>5.7749999999999998E-3</v>
      </c>
    </row>
    <row r="38" spans="1:9" x14ac:dyDescent="0.3">
      <c r="A38" s="19">
        <v>0.08</v>
      </c>
      <c r="B38" s="19">
        <v>0.03</v>
      </c>
      <c r="C38" s="19">
        <v>4.85436893203883E-2</v>
      </c>
      <c r="D38" s="49">
        <v>0.41344999999999998</v>
      </c>
      <c r="E38" s="31">
        <v>-5187589.3182130903</v>
      </c>
      <c r="F38" s="49">
        <v>0.67</v>
      </c>
      <c r="G38" s="31">
        <v>783458123.86263096</v>
      </c>
      <c r="H38" s="31">
        <v>-13537801.765170099</v>
      </c>
      <c r="I38" s="19">
        <v>1.5874999999999999E-3</v>
      </c>
    </row>
    <row r="39" spans="1:9" x14ac:dyDescent="0.3">
      <c r="A39" s="19">
        <v>0.08</v>
      </c>
      <c r="B39" s="19">
        <v>4.4699999999999997E-2</v>
      </c>
      <c r="C39" s="19">
        <v>3.3789604671197598E-2</v>
      </c>
      <c r="D39" s="49">
        <v>0.45513749999999997</v>
      </c>
      <c r="E39" s="31">
        <v>-1516731.1674250199</v>
      </c>
      <c r="F39" s="49">
        <v>0.58875</v>
      </c>
      <c r="G39" s="31">
        <v>779787265.71184301</v>
      </c>
      <c r="H39" s="31">
        <v>-3981203.3578784699</v>
      </c>
      <c r="I39" s="19">
        <v>2.3874999999999999E-3</v>
      </c>
    </row>
    <row r="40" spans="1:9" x14ac:dyDescent="0.3">
      <c r="A40" s="19">
        <v>0.08</v>
      </c>
      <c r="B40" s="19">
        <v>0.06</v>
      </c>
      <c r="C40" s="19">
        <v>1.8867924528301799E-2</v>
      </c>
      <c r="D40" s="49">
        <v>0.49933749999999999</v>
      </c>
      <c r="E40" s="31">
        <v>2195825.21803708</v>
      </c>
      <c r="F40" s="49">
        <v>0.50004999999999999</v>
      </c>
      <c r="G40" s="31">
        <v>776074709.32638097</v>
      </c>
      <c r="H40" s="31">
        <v>5406019.7102069398</v>
      </c>
      <c r="I40" s="19">
        <v>3.4875000000000001E-3</v>
      </c>
    </row>
    <row r="41" spans="1:9" x14ac:dyDescent="0.3">
      <c r="A41" s="19">
        <v>0.1</v>
      </c>
      <c r="B41" s="19">
        <v>0.03</v>
      </c>
      <c r="C41" s="19">
        <v>6.7961165048543604E-2</v>
      </c>
      <c r="D41" s="49">
        <v>0.36015000000000003</v>
      </c>
      <c r="E41" s="31">
        <v>-10018712.409833601</v>
      </c>
      <c r="F41" s="49">
        <v>0.76354999999999995</v>
      </c>
      <c r="G41" s="31">
        <v>788289246.954252</v>
      </c>
      <c r="H41" s="31">
        <v>-26541512.719716702</v>
      </c>
      <c r="I41" s="19">
        <v>9.7499999999999996E-4</v>
      </c>
    </row>
    <row r="42" spans="1:9" x14ac:dyDescent="0.3">
      <c r="A42" s="19">
        <v>0.1</v>
      </c>
      <c r="B42" s="19">
        <v>4.4699999999999997E-2</v>
      </c>
      <c r="C42" s="19">
        <v>5.2933856609553097E-2</v>
      </c>
      <c r="D42" s="49">
        <v>0.4009625</v>
      </c>
      <c r="E42" s="31">
        <v>-6279875.4044012902</v>
      </c>
      <c r="F42" s="49">
        <v>0.69240000000000002</v>
      </c>
      <c r="G42" s="31">
        <v>784550409.94881999</v>
      </c>
      <c r="H42" s="31">
        <v>-16435058.333208701</v>
      </c>
      <c r="I42" s="19">
        <v>1.4375E-3</v>
      </c>
    </row>
    <row r="43" spans="1:9" x14ac:dyDescent="0.3">
      <c r="A43" s="19">
        <v>0.1</v>
      </c>
      <c r="B43" s="19">
        <v>0.06</v>
      </c>
      <c r="C43" s="19">
        <v>3.7735849056603703E-2</v>
      </c>
      <c r="D43" s="49">
        <v>0.4443375</v>
      </c>
      <c r="E43" s="31">
        <v>-2498567.9747639499</v>
      </c>
      <c r="F43" s="49">
        <v>0.61114999999999997</v>
      </c>
      <c r="G43" s="31">
        <v>780769102.51918197</v>
      </c>
      <c r="H43" s="31">
        <v>-6510270.47615413</v>
      </c>
      <c r="I43" s="19">
        <v>2.1250000000000002E-3</v>
      </c>
    </row>
    <row r="44" spans="1:9" x14ac:dyDescent="0.3">
      <c r="A44" s="19">
        <v>0.1225</v>
      </c>
      <c r="B44" s="19">
        <v>0.03</v>
      </c>
      <c r="C44" s="19">
        <v>8.9805825242718504E-2</v>
      </c>
      <c r="D44" s="49">
        <v>0.30380000000000001</v>
      </c>
      <c r="E44" s="31">
        <v>-15453725.8879066</v>
      </c>
      <c r="F44" s="49">
        <v>0.84584999999999999</v>
      </c>
      <c r="G44" s="31">
        <v>793724260.43232501</v>
      </c>
      <c r="H44" s="31">
        <v>-41765876.544860199</v>
      </c>
      <c r="I44" s="19">
        <v>5.9999999999999995E-4</v>
      </c>
    </row>
    <row r="45" spans="1:9" x14ac:dyDescent="0.3">
      <c r="A45" s="19">
        <v>0.1225</v>
      </c>
      <c r="B45" s="19">
        <v>4.4699999999999997E-2</v>
      </c>
      <c r="C45" s="19">
        <v>7.4471140040202902E-2</v>
      </c>
      <c r="D45" s="49">
        <v>0.34208749999999999</v>
      </c>
      <c r="E45" s="31">
        <v>-11638412.670999501</v>
      </c>
      <c r="F45" s="49">
        <v>0.79110000000000003</v>
      </c>
      <c r="G45" s="31">
        <v>789908947.21541798</v>
      </c>
      <c r="H45" s="31">
        <v>-31011823.457835902</v>
      </c>
      <c r="I45" s="19">
        <v>8.7500000000000002E-4</v>
      </c>
    </row>
    <row r="46" spans="1:9" x14ac:dyDescent="0.3">
      <c r="A46" s="19">
        <v>0.1225</v>
      </c>
      <c r="B46" s="19">
        <v>0.06</v>
      </c>
      <c r="C46" s="19">
        <v>5.89622641509433E-2</v>
      </c>
      <c r="D46" s="49">
        <v>0.384575</v>
      </c>
      <c r="E46" s="31">
        <v>-7779760.3166650897</v>
      </c>
      <c r="F46" s="49">
        <v>0.72024999999999995</v>
      </c>
      <c r="G46" s="31">
        <v>786050294.86108303</v>
      </c>
      <c r="H46" s="31">
        <v>-20454028.4984161</v>
      </c>
      <c r="I46" s="19">
        <v>1.2375000000000001E-3</v>
      </c>
    </row>
    <row r="47" spans="1:9" x14ac:dyDescent="0.3">
      <c r="A47" s="19">
        <v>0.12949825834033099</v>
      </c>
      <c r="B47" s="19">
        <v>0.03</v>
      </c>
      <c r="C47" s="19">
        <v>9.6600250815855201E-2</v>
      </c>
      <c r="D47" s="49">
        <v>0.28733750000000002</v>
      </c>
      <c r="E47" s="31">
        <v>-17144198.261361498</v>
      </c>
      <c r="F47" s="49">
        <v>0.86709999999999998</v>
      </c>
      <c r="G47" s="31">
        <v>795414732.80578005</v>
      </c>
      <c r="H47" s="31">
        <v>-46632617.472406603</v>
      </c>
      <c r="I47" s="19">
        <v>4.3750000000000001E-4</v>
      </c>
    </row>
    <row r="48" spans="1:9" x14ac:dyDescent="0.3">
      <c r="A48" s="45">
        <v>0.12949825834033099</v>
      </c>
      <c r="B48" s="45">
        <v>4.4699999999999997E-2</v>
      </c>
      <c r="C48" s="45">
        <v>8.1169961080052394E-2</v>
      </c>
      <c r="D48" s="61">
        <v>0.32526250000000001</v>
      </c>
      <c r="E48" s="59">
        <v>-13305098.3651304</v>
      </c>
      <c r="F48" s="61">
        <v>0.81699999999999995</v>
      </c>
      <c r="G48" s="59">
        <v>791575632.909549</v>
      </c>
      <c r="H48" s="59">
        <v>-35670720.874535002</v>
      </c>
      <c r="I48" s="45">
        <v>7.2499999999999995E-4</v>
      </c>
    </row>
    <row r="49" spans="1:9" x14ac:dyDescent="0.3">
      <c r="A49" s="19">
        <v>0.12949825834033099</v>
      </c>
      <c r="B49" s="19">
        <v>0.06</v>
      </c>
      <c r="C49" s="19">
        <v>6.5564394660689404E-2</v>
      </c>
      <c r="D49" s="49">
        <v>0.36683749999999998</v>
      </c>
      <c r="E49" s="31">
        <v>-9422389.1323807109</v>
      </c>
      <c r="F49" s="49">
        <v>0.75360000000000005</v>
      </c>
      <c r="G49" s="31">
        <v>787692923.67679906</v>
      </c>
      <c r="H49" s="31">
        <v>-24909790.358173799</v>
      </c>
      <c r="I49" s="19">
        <v>1.0499999999999999E-3</v>
      </c>
    </row>
    <row r="50" spans="1:9" x14ac:dyDescent="0.3">
      <c r="A50" s="19">
        <v>0.14000000000000001</v>
      </c>
      <c r="B50" s="19">
        <v>0.03</v>
      </c>
      <c r="C50" s="19">
        <v>0.106796116504855</v>
      </c>
      <c r="D50" s="49">
        <v>0.26397500000000002</v>
      </c>
      <c r="E50" s="31">
        <v>-19680958.593074601</v>
      </c>
      <c r="F50" s="49">
        <v>0.89675000000000005</v>
      </c>
      <c r="G50" s="31">
        <v>797951493.13749301</v>
      </c>
      <c r="H50" s="31">
        <v>-54054934.318750203</v>
      </c>
      <c r="I50" s="19">
        <v>4.0000000000000002E-4</v>
      </c>
    </row>
    <row r="51" spans="1:9" x14ac:dyDescent="0.3">
      <c r="A51" s="19">
        <v>0.14000000000000001</v>
      </c>
      <c r="B51" s="19">
        <v>4.4699999999999997E-2</v>
      </c>
      <c r="C51" s="19">
        <v>9.1222360486264004E-2</v>
      </c>
      <c r="D51" s="49">
        <v>0.30033749999999998</v>
      </c>
      <c r="E51" s="31">
        <v>-15806163.878353801</v>
      </c>
      <c r="F51" s="49">
        <v>0.85055000000000003</v>
      </c>
      <c r="G51" s="31">
        <v>794076698.42277205</v>
      </c>
      <c r="H51" s="31">
        <v>-42775315.822570696</v>
      </c>
      <c r="I51" s="19">
        <v>5.8750000000000002E-4</v>
      </c>
    </row>
    <row r="52" spans="1:9" x14ac:dyDescent="0.3">
      <c r="A52" s="19">
        <v>0.14000000000000001</v>
      </c>
      <c r="B52" s="19">
        <v>0.06</v>
      </c>
      <c r="C52" s="19">
        <v>7.5471698113207503E-2</v>
      </c>
      <c r="D52" s="49">
        <v>0.3394875</v>
      </c>
      <c r="E52" s="31">
        <v>-11887354.360366</v>
      </c>
      <c r="F52" s="49">
        <v>0.79620000000000002</v>
      </c>
      <c r="G52" s="31">
        <v>790157888.90478396</v>
      </c>
      <c r="H52" s="31">
        <v>-31703882.449871</v>
      </c>
      <c r="I52" s="19">
        <v>8.25E-4</v>
      </c>
    </row>
    <row r="54" spans="1:9" ht="45.75" customHeight="1" x14ac:dyDescent="0.3">
      <c r="A54" s="73"/>
      <c r="B54" s="73"/>
      <c r="C54" s="73"/>
      <c r="D54" s="73"/>
      <c r="E54" s="73"/>
      <c r="F54" s="73"/>
      <c r="G54" s="73"/>
      <c r="H54" s="73"/>
      <c r="I54" s="73"/>
    </row>
    <row r="56" spans="1:9" ht="15.6" x14ac:dyDescent="0.3">
      <c r="A56" s="12"/>
    </row>
    <row r="57" spans="1:9" ht="24" customHeight="1" x14ac:dyDescent="0.3">
      <c r="A57" s="90"/>
      <c r="B57" s="91"/>
      <c r="C57" s="91"/>
      <c r="D57" s="91"/>
      <c r="E57" s="91"/>
      <c r="F57" s="91"/>
      <c r="G57" s="91"/>
      <c r="H57" s="91"/>
      <c r="I57" s="91"/>
    </row>
    <row r="58" spans="1:9" ht="66" customHeight="1" x14ac:dyDescent="0.3">
      <c r="A58" s="15"/>
      <c r="B58" s="70"/>
      <c r="C58" s="70"/>
      <c r="D58" s="70"/>
      <c r="E58" s="70"/>
      <c r="F58" s="70"/>
      <c r="G58" s="70"/>
      <c r="H58" s="70"/>
      <c r="I58" s="70"/>
    </row>
    <row r="59" spans="1:9" ht="66" customHeight="1" x14ac:dyDescent="0.3">
      <c r="A59" s="15"/>
      <c r="B59" s="70"/>
      <c r="C59" s="70"/>
      <c r="D59" s="70"/>
      <c r="E59" s="70"/>
      <c r="F59" s="70"/>
      <c r="G59" s="70"/>
      <c r="H59" s="70"/>
      <c r="I59" s="70"/>
    </row>
    <row r="60" spans="1:9" ht="66" customHeight="1" x14ac:dyDescent="0.3">
      <c r="A60" s="15"/>
      <c r="B60" s="70"/>
      <c r="C60" s="70"/>
      <c r="D60" s="70"/>
      <c r="E60" s="70"/>
      <c r="F60" s="70"/>
      <c r="G60" s="70"/>
      <c r="H60" s="70"/>
      <c r="I60" s="70"/>
    </row>
    <row r="61" spans="1:9" ht="66" customHeight="1" x14ac:dyDescent="0.3">
      <c r="A61" s="15"/>
      <c r="B61" s="70"/>
      <c r="C61" s="70"/>
      <c r="D61" s="70"/>
      <c r="E61" s="70"/>
      <c r="F61" s="70"/>
      <c r="G61" s="70"/>
      <c r="H61" s="70"/>
      <c r="I61" s="70"/>
    </row>
    <row r="62" spans="1:9" ht="66" customHeight="1" x14ac:dyDescent="0.3">
      <c r="A62" s="15"/>
      <c r="B62" s="70"/>
      <c r="C62" s="70"/>
      <c r="D62" s="70"/>
      <c r="E62" s="70"/>
      <c r="F62" s="70"/>
      <c r="G62" s="70"/>
      <c r="H62" s="70"/>
      <c r="I62" s="70"/>
    </row>
    <row r="63" spans="1:9" ht="66" customHeight="1" x14ac:dyDescent="0.3">
      <c r="A63" s="15"/>
      <c r="B63" s="70"/>
      <c r="C63" s="70"/>
      <c r="D63" s="70"/>
      <c r="E63" s="70"/>
      <c r="F63" s="70"/>
      <c r="G63" s="70"/>
      <c r="H63" s="70"/>
      <c r="I63" s="70"/>
    </row>
    <row r="64" spans="1:9" ht="66" customHeight="1" x14ac:dyDescent="0.3">
      <c r="A64" s="15"/>
      <c r="B64" s="70"/>
      <c r="C64" s="70"/>
      <c r="D64" s="70"/>
      <c r="E64" s="70"/>
      <c r="F64" s="70"/>
      <c r="G64" s="70"/>
      <c r="H64" s="70"/>
      <c r="I64" s="70"/>
    </row>
    <row r="65" spans="1:9" ht="66" customHeight="1" x14ac:dyDescent="0.3">
      <c r="A65" s="15"/>
      <c r="B65" s="70"/>
      <c r="C65" s="70"/>
      <c r="D65" s="70"/>
      <c r="E65" s="70"/>
      <c r="F65" s="70"/>
      <c r="G65" s="70"/>
      <c r="H65" s="70"/>
      <c r="I65" s="70"/>
    </row>
    <row r="67" spans="1:9" ht="15.6" x14ac:dyDescent="0.3">
      <c r="A67" s="12"/>
    </row>
    <row r="68" spans="1:9" ht="117.75" customHeight="1" x14ac:dyDescent="0.3">
      <c r="A68" s="69"/>
      <c r="B68" s="69"/>
      <c r="C68" s="69"/>
      <c r="D68" s="69"/>
      <c r="E68" s="69"/>
      <c r="F68" s="69"/>
      <c r="G68" s="69"/>
      <c r="H68" s="69"/>
      <c r="I68" s="69"/>
    </row>
  </sheetData>
  <mergeCells count="21">
    <mergeCell ref="A2:J2"/>
    <mergeCell ref="A54:I54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B65:E65"/>
    <mergeCell ref="F65:I65"/>
    <mergeCell ref="A68:I68"/>
    <mergeCell ref="B62:E62"/>
    <mergeCell ref="F62:I62"/>
    <mergeCell ref="B63:E63"/>
    <mergeCell ref="F63:I63"/>
    <mergeCell ref="B64:E64"/>
    <mergeCell ref="F64:I6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2" width="14" customWidth="1"/>
  </cols>
  <sheetData>
    <row r="1" spans="1:12" ht="17.399999999999999" x14ac:dyDescent="0.3">
      <c r="A1" s="13" t="s">
        <v>395</v>
      </c>
    </row>
    <row r="2" spans="1:12" ht="31.5" customHeight="1" x14ac:dyDescent="0.3">
      <c r="A2" s="69" t="s">
        <v>396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2" ht="31.5" customHeight="1" x14ac:dyDescent="0.3">
      <c r="A4" s="2" t="s">
        <v>69</v>
      </c>
      <c r="B4" s="2" t="s">
        <v>319</v>
      </c>
      <c r="C4" s="2" t="s">
        <v>397</v>
      </c>
      <c r="D4" s="2" t="s">
        <v>100</v>
      </c>
      <c r="E4" s="2" t="s">
        <v>398</v>
      </c>
      <c r="F4" s="2" t="s">
        <v>399</v>
      </c>
      <c r="G4" s="2" t="s">
        <v>103</v>
      </c>
      <c r="H4" s="2" t="s">
        <v>400</v>
      </c>
      <c r="I4" s="2" t="s">
        <v>104</v>
      </c>
      <c r="J4" s="2" t="s">
        <v>401</v>
      </c>
      <c r="K4" s="2" t="s">
        <v>105</v>
      </c>
      <c r="L4" s="2" t="s">
        <v>106</v>
      </c>
    </row>
    <row r="5" spans="1:12" x14ac:dyDescent="0.3">
      <c r="A5" s="29">
        <v>0</v>
      </c>
      <c r="B5" s="62">
        <v>46313</v>
      </c>
      <c r="C5" s="63">
        <f>Supuestos!$B$8</f>
        <v>3174.67</v>
      </c>
      <c r="D5" s="36">
        <v>3174.67</v>
      </c>
      <c r="E5" s="36">
        <v>3174.67</v>
      </c>
      <c r="F5" s="36">
        <v>3174.67</v>
      </c>
      <c r="G5" s="36">
        <v>3174.67</v>
      </c>
      <c r="H5" s="36">
        <v>3174.67</v>
      </c>
      <c r="I5" s="36">
        <v>3174.67</v>
      </c>
      <c r="J5" s="36">
        <v>3174.67</v>
      </c>
      <c r="K5" s="36">
        <v>3174.67</v>
      </c>
      <c r="L5" s="36">
        <v>3174.6700000013002</v>
      </c>
    </row>
    <row r="6" spans="1:12" x14ac:dyDescent="0.3">
      <c r="A6" s="29">
        <v>1</v>
      </c>
      <c r="B6" s="62">
        <v>46405</v>
      </c>
      <c r="C6" s="63">
        <f>Supuestos!$B$8</f>
        <v>3174.67</v>
      </c>
      <c r="D6" s="36">
        <v>3223.0561136357301</v>
      </c>
      <c r="E6" s="36">
        <v>3161.5460936178101</v>
      </c>
      <c r="F6" s="36">
        <v>3297.3536009958102</v>
      </c>
      <c r="G6" s="36">
        <v>2991.0053418561101</v>
      </c>
      <c r="H6" s="36">
        <v>3126.9376090996602</v>
      </c>
      <c r="I6" s="36">
        <v>3227.0933888281302</v>
      </c>
      <c r="J6" s="36">
        <v>3330.1246473438</v>
      </c>
      <c r="K6" s="36">
        <v>3483.0952621462202</v>
      </c>
      <c r="L6" s="36">
        <v>3230.9161656259998</v>
      </c>
    </row>
    <row r="7" spans="1:12" x14ac:dyDescent="0.3">
      <c r="A7" s="29">
        <v>2</v>
      </c>
      <c r="B7" s="62">
        <v>46495</v>
      </c>
      <c r="C7" s="63">
        <f>Supuestos!$B$8</f>
        <v>3174.67</v>
      </c>
      <c r="D7" s="36">
        <v>3272.17969478549</v>
      </c>
      <c r="E7" s="36">
        <v>3148.47644072299</v>
      </c>
      <c r="F7" s="36">
        <v>3424.77825096783</v>
      </c>
      <c r="G7" s="36">
        <v>2967.1170710975398</v>
      </c>
      <c r="H7" s="36">
        <v>3145.1167898399299</v>
      </c>
      <c r="I7" s="36">
        <v>3277.6776966115499</v>
      </c>
      <c r="J7" s="36">
        <v>3417.2693458369599</v>
      </c>
      <c r="K7" s="36">
        <v>3628.08241539861</v>
      </c>
      <c r="L7" s="36">
        <v>3285.2933838600302</v>
      </c>
    </row>
    <row r="8" spans="1:12" x14ac:dyDescent="0.3">
      <c r="A8" s="29">
        <v>3</v>
      </c>
      <c r="B8" s="62">
        <v>46586</v>
      </c>
      <c r="C8" s="63">
        <f>Supuestos!$B$8</f>
        <v>3174.67</v>
      </c>
      <c r="D8" s="36">
        <v>3322.0519834165698</v>
      </c>
      <c r="E8" s="36">
        <v>3135.4608170346801</v>
      </c>
      <c r="F8" s="36">
        <v>3557.1271654820498</v>
      </c>
      <c r="G8" s="36">
        <v>2988.5981150584398</v>
      </c>
      <c r="H8" s="36">
        <v>3178.3871650585002</v>
      </c>
      <c r="I8" s="36">
        <v>3324.9599505628798</v>
      </c>
      <c r="J8" s="36">
        <v>3484.9084817092898</v>
      </c>
      <c r="K8" s="36">
        <v>3734.6826657594402</v>
      </c>
      <c r="L8" s="36">
        <v>3338.7115617629602</v>
      </c>
    </row>
    <row r="9" spans="1:12" x14ac:dyDescent="0.3">
      <c r="A9" s="29">
        <v>4</v>
      </c>
      <c r="B9" s="62">
        <v>46678</v>
      </c>
      <c r="C9" s="63">
        <f>Supuestos!$B$8</f>
        <v>3174.67</v>
      </c>
      <c r="D9" s="36">
        <v>3372.68439080801</v>
      </c>
      <c r="E9" s="36">
        <v>3122.4989991992002</v>
      </c>
      <c r="F9" s="36">
        <v>3694.59064038223</v>
      </c>
      <c r="G9" s="36">
        <v>3038.6446291132302</v>
      </c>
      <c r="H9" s="36">
        <v>3228.2457849857801</v>
      </c>
      <c r="I9" s="36">
        <v>3370.8973920866401</v>
      </c>
      <c r="J9" s="36">
        <v>3523.3701352705498</v>
      </c>
      <c r="K9" s="36">
        <v>3831.2097508581101</v>
      </c>
      <c r="L9" s="36">
        <v>3392.0317541433101</v>
      </c>
    </row>
    <row r="10" spans="1:12" x14ac:dyDescent="0.3">
      <c r="A10" s="29">
        <v>5</v>
      </c>
      <c r="B10" s="62">
        <v>46770</v>
      </c>
      <c r="C10" s="63">
        <f>Supuestos!$B$8</f>
        <v>3174.67</v>
      </c>
      <c r="D10" s="36">
        <v>3388.7222196161401</v>
      </c>
      <c r="E10" s="36">
        <v>3137.3471434664798</v>
      </c>
      <c r="F10" s="36">
        <v>3712.1592016054701</v>
      </c>
      <c r="G10" s="36">
        <v>2915.32031016681</v>
      </c>
      <c r="H10" s="36">
        <v>3187.0272418470599</v>
      </c>
      <c r="I10" s="36">
        <v>3392.76449396817</v>
      </c>
      <c r="J10" s="36">
        <v>3621.9184247988301</v>
      </c>
      <c r="K10" s="36">
        <v>3998.4098764873202</v>
      </c>
      <c r="L10" s="36">
        <v>3416.1922407104298</v>
      </c>
    </row>
    <row r="11" spans="1:12" x14ac:dyDescent="0.3">
      <c r="A11" s="29">
        <v>6</v>
      </c>
      <c r="B11" s="62">
        <v>46861</v>
      </c>
      <c r="C11" s="63">
        <f>Supuestos!$B$8</f>
        <v>3174.67</v>
      </c>
      <c r="D11" s="36">
        <v>3404.8363116979999</v>
      </c>
      <c r="E11" s="36">
        <v>3152.2658938054501</v>
      </c>
      <c r="F11" s="36">
        <v>3729.8113050593702</v>
      </c>
      <c r="G11" s="36">
        <v>2830.7807684794702</v>
      </c>
      <c r="H11" s="36">
        <v>3157.84900505923</v>
      </c>
      <c r="I11" s="36">
        <v>3409.29724761443</v>
      </c>
      <c r="J11" s="36">
        <v>3691.3357959148798</v>
      </c>
      <c r="K11" s="36">
        <v>4145.3539624401101</v>
      </c>
      <c r="L11" s="36">
        <v>3439.3702419712999</v>
      </c>
    </row>
    <row r="12" spans="1:12" x14ac:dyDescent="0.3">
      <c r="A12" s="29">
        <v>7</v>
      </c>
      <c r="B12" s="62">
        <v>46952</v>
      </c>
      <c r="C12" s="63">
        <f>Supuestos!$B$8</f>
        <v>3174.67</v>
      </c>
      <c r="D12" s="36">
        <v>3421.02702970161</v>
      </c>
      <c r="E12" s="36">
        <v>3167.2555859629401</v>
      </c>
      <c r="F12" s="36">
        <v>3747.54734800493</v>
      </c>
      <c r="G12" s="36">
        <v>2758.3064040521099</v>
      </c>
      <c r="H12" s="36">
        <v>3143.7333590765402</v>
      </c>
      <c r="I12" s="36">
        <v>3432.26749645465</v>
      </c>
      <c r="J12" s="36">
        <v>3761.7338821797198</v>
      </c>
      <c r="K12" s="36">
        <v>4295.6113538623304</v>
      </c>
      <c r="L12" s="36">
        <v>3467.5269104315798</v>
      </c>
    </row>
    <row r="13" spans="1:12" x14ac:dyDescent="0.3">
      <c r="A13" s="29">
        <v>8</v>
      </c>
      <c r="B13" s="62">
        <v>47044</v>
      </c>
      <c r="C13" s="63">
        <f>Supuestos!$B$8</f>
        <v>3174.67</v>
      </c>
      <c r="D13" s="36">
        <v>3437.2947379994498</v>
      </c>
      <c r="E13" s="36">
        <v>3182.31655728232</v>
      </c>
      <c r="F13" s="36">
        <v>3765.3677295922198</v>
      </c>
      <c r="G13" s="36">
        <v>2701.0800038829102</v>
      </c>
      <c r="H13" s="36">
        <v>3120.8648064490999</v>
      </c>
      <c r="I13" s="36">
        <v>3452.0018609459198</v>
      </c>
      <c r="J13" s="36">
        <v>3812.4872995314099</v>
      </c>
      <c r="K13" s="36">
        <v>4417.4805207727204</v>
      </c>
      <c r="L13" s="36">
        <v>3490.41690691961</v>
      </c>
    </row>
    <row r="14" spans="1:12" x14ac:dyDescent="0.3">
      <c r="A14" s="29">
        <v>9</v>
      </c>
      <c r="B14" s="62">
        <v>47136</v>
      </c>
      <c r="C14" s="63">
        <f>Supuestos!$B$8</f>
        <v>3174.67</v>
      </c>
      <c r="D14" s="36">
        <v>3453.6398026966899</v>
      </c>
      <c r="E14" s="36">
        <v>3197.4491467111102</v>
      </c>
      <c r="F14" s="36">
        <v>3783.2728508693399</v>
      </c>
      <c r="G14" s="36">
        <v>2656.6076991812502</v>
      </c>
      <c r="H14" s="36">
        <v>3107.7611558236699</v>
      </c>
      <c r="I14" s="36">
        <v>3468.9226721309601</v>
      </c>
      <c r="J14" s="36">
        <v>3867.3320874414298</v>
      </c>
      <c r="K14" s="36">
        <v>4530.6983737722503</v>
      </c>
      <c r="L14" s="36">
        <v>3514.8308222948499</v>
      </c>
    </row>
    <row r="15" spans="1:12" x14ac:dyDescent="0.3">
      <c r="A15" s="29">
        <v>10</v>
      </c>
      <c r="B15" s="62">
        <v>47226</v>
      </c>
      <c r="C15" s="63">
        <f>Supuestos!$B$8</f>
        <v>3174.67</v>
      </c>
      <c r="D15" s="36">
        <v>3470.0625916394001</v>
      </c>
      <c r="E15" s="36">
        <v>3212.65369480859</v>
      </c>
      <c r="F15" s="36">
        <v>3801.2631147914699</v>
      </c>
      <c r="G15" s="36">
        <v>2613.41081617591</v>
      </c>
      <c r="H15" s="36">
        <v>3092.4520902199702</v>
      </c>
      <c r="I15" s="36">
        <v>3487.28735465108</v>
      </c>
      <c r="J15" s="36">
        <v>3921.9839224078801</v>
      </c>
      <c r="K15" s="36">
        <v>4665.2009907163501</v>
      </c>
      <c r="L15" s="36">
        <v>3540.7468601862201</v>
      </c>
    </row>
    <row r="16" spans="1:12" x14ac:dyDescent="0.3">
      <c r="A16" s="29">
        <v>11</v>
      </c>
      <c r="B16" s="62">
        <v>47317</v>
      </c>
      <c r="C16" s="63">
        <f>Supuestos!$B$8</f>
        <v>3174.67</v>
      </c>
      <c r="D16" s="36">
        <v>3486.56347442283</v>
      </c>
      <c r="E16" s="36">
        <v>3227.9305437534799</v>
      </c>
      <c r="F16" s="36">
        <v>3819.3389262299402</v>
      </c>
      <c r="G16" s="36">
        <v>2574.25788766404</v>
      </c>
      <c r="H16" s="36">
        <v>3088.65810966967</v>
      </c>
      <c r="I16" s="36">
        <v>3498.0912493014698</v>
      </c>
      <c r="J16" s="36">
        <v>3969.4717278442299</v>
      </c>
      <c r="K16" s="36">
        <v>4778.13240136691</v>
      </c>
      <c r="L16" s="36">
        <v>3564.73806436114</v>
      </c>
    </row>
    <row r="17" spans="1:12" x14ac:dyDescent="0.3">
      <c r="A17" s="29">
        <v>12</v>
      </c>
      <c r="B17" s="62">
        <v>47409</v>
      </c>
      <c r="C17" s="63">
        <f>Supuestos!$B$8</f>
        <v>3174.67</v>
      </c>
      <c r="D17" s="36">
        <v>3503.14282239973</v>
      </c>
      <c r="E17" s="36">
        <v>3243.2800373516202</v>
      </c>
      <c r="F17" s="36">
        <v>3837.5006919813</v>
      </c>
      <c r="G17" s="36">
        <v>2539.4363192118599</v>
      </c>
      <c r="H17" s="36">
        <v>3078.39157698183</v>
      </c>
      <c r="I17" s="36">
        <v>3512.8633666610299</v>
      </c>
      <c r="J17" s="36">
        <v>4030.7308189774899</v>
      </c>
      <c r="K17" s="36">
        <v>4883.2805151911598</v>
      </c>
      <c r="L17" s="36">
        <v>3591.2746113532398</v>
      </c>
    </row>
    <row r="18" spans="1:12" x14ac:dyDescent="0.3">
      <c r="A18" s="29">
        <v>13</v>
      </c>
      <c r="B18" s="62">
        <v>47501</v>
      </c>
      <c r="C18" s="63">
        <f>Supuestos!$B$8</f>
        <v>3174.67</v>
      </c>
      <c r="D18" s="36">
        <v>3519.8010086887398</v>
      </c>
      <c r="E18" s="36">
        <v>3258.70252104373</v>
      </c>
      <c r="F18" s="36">
        <v>3855.74882077652</v>
      </c>
      <c r="G18" s="36">
        <v>2512.79947737983</v>
      </c>
      <c r="H18" s="36">
        <v>3069.4700507917801</v>
      </c>
      <c r="I18" s="36">
        <v>3528.1278215408402</v>
      </c>
      <c r="J18" s="36">
        <v>4072.5450996209702</v>
      </c>
      <c r="K18" s="36">
        <v>4997.1408615608998</v>
      </c>
      <c r="L18" s="36">
        <v>3615.0462535095498</v>
      </c>
    </row>
    <row r="19" spans="1:12" x14ac:dyDescent="0.3">
      <c r="A19" s="29">
        <v>14</v>
      </c>
      <c r="B19" s="62">
        <v>47591</v>
      </c>
      <c r="C19" s="63">
        <f>Supuestos!$B$8</f>
        <v>3174.67</v>
      </c>
      <c r="D19" s="36">
        <v>3536.5384081827101</v>
      </c>
      <c r="E19" s="36">
        <v>3274.1983419131798</v>
      </c>
      <c r="F19" s="36">
        <v>3874.0837232901699</v>
      </c>
      <c r="G19" s="36">
        <v>2493.52542153063</v>
      </c>
      <c r="H19" s="36">
        <v>3060.5817138064999</v>
      </c>
      <c r="I19" s="36">
        <v>3547.3471062117701</v>
      </c>
      <c r="J19" s="36">
        <v>4120.4056404436897</v>
      </c>
      <c r="K19" s="36">
        <v>5096.6627087882298</v>
      </c>
      <c r="L19" s="36">
        <v>3638.2814589510099</v>
      </c>
    </row>
    <row r="20" spans="1:12" x14ac:dyDescent="0.3">
      <c r="A20" s="29">
        <v>15</v>
      </c>
      <c r="B20" s="62">
        <v>47682</v>
      </c>
      <c r="C20" s="63">
        <f>Supuestos!$B$8</f>
        <v>3174.67</v>
      </c>
      <c r="D20" s="36">
        <v>3553.3553975572299</v>
      </c>
      <c r="E20" s="36">
        <v>3289.7678486937698</v>
      </c>
      <c r="F20" s="36">
        <v>3892.50581214967</v>
      </c>
      <c r="G20" s="36">
        <v>2460.5972847325202</v>
      </c>
      <c r="H20" s="36">
        <v>3059.7897049713301</v>
      </c>
      <c r="I20" s="36">
        <v>3564.8329600491502</v>
      </c>
      <c r="J20" s="36">
        <v>4161.3589581965398</v>
      </c>
      <c r="K20" s="36">
        <v>5214.5675375098299</v>
      </c>
      <c r="L20" s="36">
        <v>3664.9914395248302</v>
      </c>
    </row>
    <row r="21" spans="1:12" x14ac:dyDescent="0.3">
      <c r="A21" s="29">
        <v>16</v>
      </c>
      <c r="B21" s="62">
        <v>47774</v>
      </c>
      <c r="C21" s="63">
        <f>Supuestos!$B$8</f>
        <v>3174.67</v>
      </c>
      <c r="D21" s="36">
        <v>3570.2523552790399</v>
      </c>
      <c r="E21" s="36">
        <v>3305.4113917776299</v>
      </c>
      <c r="F21" s="36">
        <v>3911.0155019445501</v>
      </c>
      <c r="G21" s="36">
        <v>2436.2544774264502</v>
      </c>
      <c r="H21" s="36">
        <v>3047.4066690723898</v>
      </c>
      <c r="I21" s="36">
        <v>3583.1370177732301</v>
      </c>
      <c r="J21" s="36">
        <v>4200.47018826363</v>
      </c>
      <c r="K21" s="36">
        <v>5332.6181001692303</v>
      </c>
      <c r="L21" s="36">
        <v>3689.7642431291501</v>
      </c>
    </row>
    <row r="22" spans="1:12" x14ac:dyDescent="0.3">
      <c r="A22" s="29">
        <v>17</v>
      </c>
      <c r="B22" s="62">
        <v>47866</v>
      </c>
      <c r="C22" s="63">
        <f>Supuestos!$B$8</f>
        <v>3174.67</v>
      </c>
      <c r="D22" s="36">
        <v>3587.22966161457</v>
      </c>
      <c r="E22" s="36">
        <v>3321.1293232230501</v>
      </c>
      <c r="F22" s="36">
        <v>3929.6132092358398</v>
      </c>
      <c r="G22" s="36">
        <v>2416.5586827085399</v>
      </c>
      <c r="H22" s="36">
        <v>3049.1156622582198</v>
      </c>
      <c r="I22" s="36">
        <v>3597.93141741307</v>
      </c>
      <c r="J22" s="36">
        <v>4242.48569068695</v>
      </c>
      <c r="K22" s="36">
        <v>5418.7944873198203</v>
      </c>
      <c r="L22" s="36">
        <v>3714.8395769373301</v>
      </c>
    </row>
    <row r="23" spans="1:12" x14ac:dyDescent="0.3">
      <c r="A23" s="29">
        <v>18</v>
      </c>
      <c r="B23" s="62">
        <v>47956</v>
      </c>
      <c r="C23" s="63">
        <f>Supuestos!$B$8</f>
        <v>3174.67</v>
      </c>
      <c r="D23" s="36">
        <v>3604.2876986384999</v>
      </c>
      <c r="E23" s="36">
        <v>3336.9219967624699</v>
      </c>
      <c r="F23" s="36">
        <v>3948.2993525653701</v>
      </c>
      <c r="G23" s="36">
        <v>2390.6792223655202</v>
      </c>
      <c r="H23" s="36">
        <v>3045.7467881360899</v>
      </c>
      <c r="I23" s="36">
        <v>3619.8425362408302</v>
      </c>
      <c r="J23" s="36">
        <v>4291.4855298624998</v>
      </c>
      <c r="K23" s="36">
        <v>5523.6333276842397</v>
      </c>
      <c r="L23" s="36">
        <v>3741.8035488697301</v>
      </c>
    </row>
    <row r="24" spans="1:12" x14ac:dyDescent="0.3">
      <c r="A24" s="29">
        <v>19</v>
      </c>
      <c r="B24" s="62">
        <v>48047</v>
      </c>
      <c r="C24" s="63">
        <f>Supuestos!$B$8</f>
        <v>3174.67</v>
      </c>
      <c r="D24" s="36">
        <v>3621.4268502423502</v>
      </c>
      <c r="E24" s="36">
        <v>3352.78976781038</v>
      </c>
      <c r="F24" s="36">
        <v>3967.0743524652398</v>
      </c>
      <c r="G24" s="36">
        <v>2362.87196700411</v>
      </c>
      <c r="H24" s="36">
        <v>3040.5270136337699</v>
      </c>
      <c r="I24" s="36">
        <v>3632.2484817216</v>
      </c>
      <c r="J24" s="36">
        <v>4339.3102214476603</v>
      </c>
      <c r="K24" s="36">
        <v>5618.4255422324904</v>
      </c>
      <c r="L24" s="36">
        <v>3766.21827095357</v>
      </c>
    </row>
    <row r="25" spans="1:12" x14ac:dyDescent="0.3">
      <c r="A25" s="29">
        <v>20</v>
      </c>
      <c r="B25" s="62">
        <v>48139</v>
      </c>
      <c r="C25" s="63">
        <f>Supuestos!$B$8</f>
        <v>3174.67</v>
      </c>
      <c r="D25" s="36">
        <v>3638.6475021431502</v>
      </c>
      <c r="E25" s="36">
        <v>3368.7329934713198</v>
      </c>
      <c r="F25" s="36">
        <v>3985.9386314672702</v>
      </c>
      <c r="G25" s="36">
        <v>2345.1138147871002</v>
      </c>
      <c r="H25" s="36">
        <v>3033.0696048831301</v>
      </c>
      <c r="I25" s="36">
        <v>3650.2245842867301</v>
      </c>
      <c r="J25" s="36">
        <v>4381.8704999912397</v>
      </c>
      <c r="K25" s="36">
        <v>5730.7181238633802</v>
      </c>
      <c r="L25" s="36">
        <v>3789.5050860098099</v>
      </c>
    </row>
    <row r="26" spans="1:12" x14ac:dyDescent="0.3">
      <c r="A26" s="29">
        <v>21</v>
      </c>
      <c r="B26" s="62">
        <v>48231</v>
      </c>
      <c r="C26" s="63">
        <f>Supuestos!$B$8</f>
        <v>3174.67</v>
      </c>
      <c r="D26" s="36">
        <v>3655.9500418920702</v>
      </c>
      <c r="E26" s="36">
        <v>3384.75203254799</v>
      </c>
      <c r="F26" s="36">
        <v>4004.8926141124898</v>
      </c>
      <c r="G26" s="36">
        <v>2318.3577469399702</v>
      </c>
      <c r="H26" s="36">
        <v>3036.49096256659</v>
      </c>
      <c r="I26" s="36">
        <v>3667.7608834074299</v>
      </c>
      <c r="J26" s="36">
        <v>4423.3723821521799</v>
      </c>
      <c r="K26" s="36">
        <v>5844.4538337239401</v>
      </c>
      <c r="L26" s="36">
        <v>3818.77221523655</v>
      </c>
    </row>
    <row r="27" spans="1:12" x14ac:dyDescent="0.3">
      <c r="A27" s="29">
        <v>22</v>
      </c>
      <c r="B27" s="62">
        <v>48322</v>
      </c>
      <c r="C27" s="63">
        <f>Supuestos!$B$8</f>
        <v>3174.67</v>
      </c>
      <c r="D27" s="36">
        <v>3673.33485888318</v>
      </c>
      <c r="E27" s="36">
        <v>3400.8472455492201</v>
      </c>
      <c r="F27" s="36">
        <v>4023.9367269607501</v>
      </c>
      <c r="G27" s="36">
        <v>2302.2544621963102</v>
      </c>
      <c r="H27" s="36">
        <v>3036.6652282498198</v>
      </c>
      <c r="I27" s="36">
        <v>3687.8252515351001</v>
      </c>
      <c r="J27" s="36">
        <v>4465.14600852884</v>
      </c>
      <c r="K27" s="36">
        <v>5935.0939602053904</v>
      </c>
      <c r="L27" s="36">
        <v>3845.6452466954402</v>
      </c>
    </row>
    <row r="28" spans="1:12" x14ac:dyDescent="0.3">
      <c r="A28" s="29">
        <v>23</v>
      </c>
      <c r="B28" s="62">
        <v>48413</v>
      </c>
      <c r="C28" s="63">
        <f>Supuestos!$B$8</f>
        <v>3174.67</v>
      </c>
      <c r="D28" s="36">
        <v>3690.8023443621901</v>
      </c>
      <c r="E28" s="36">
        <v>3417.01899469817</v>
      </c>
      <c r="F28" s="36">
        <v>4043.0713986002402</v>
      </c>
      <c r="G28" s="36">
        <v>2282.0296487977998</v>
      </c>
      <c r="H28" s="36">
        <v>3029.7363235786402</v>
      </c>
      <c r="I28" s="36">
        <v>3713.31583667312</v>
      </c>
      <c r="J28" s="36">
        <v>4509.57632829676</v>
      </c>
      <c r="K28" s="36">
        <v>6034.0902251744001</v>
      </c>
      <c r="L28" s="36">
        <v>3871.0502453302202</v>
      </c>
    </row>
    <row r="29" spans="1:12" x14ac:dyDescent="0.3">
      <c r="A29" s="29">
        <v>24</v>
      </c>
      <c r="B29" s="62">
        <v>48505</v>
      </c>
      <c r="C29" s="63">
        <f>Supuestos!$B$8</f>
        <v>3174.67</v>
      </c>
      <c r="D29" s="36">
        <v>3708.3528914352801</v>
      </c>
      <c r="E29" s="36">
        <v>3433.2676439404399</v>
      </c>
      <c r="F29" s="36">
        <v>4062.29705965721</v>
      </c>
      <c r="G29" s="36">
        <v>2262.9630804375802</v>
      </c>
      <c r="H29" s="36">
        <v>3029.3567667846</v>
      </c>
      <c r="I29" s="36">
        <v>3720.0105855680799</v>
      </c>
      <c r="J29" s="36">
        <v>4553.8010889492298</v>
      </c>
      <c r="K29" s="36">
        <v>6140.7858662368599</v>
      </c>
      <c r="L29" s="36">
        <v>3897.4590601165701</v>
      </c>
    </row>
    <row r="30" spans="1:12" x14ac:dyDescent="0.3">
      <c r="A30" s="29">
        <v>25</v>
      </c>
      <c r="B30" s="62">
        <v>48597</v>
      </c>
      <c r="C30" s="63">
        <f>Supuestos!$B$8</f>
        <v>3174.67</v>
      </c>
      <c r="D30" s="36">
        <v>3725.9868950779201</v>
      </c>
      <c r="E30" s="36">
        <v>3449.5935589522601</v>
      </c>
      <c r="F30" s="36">
        <v>4081.6141428056198</v>
      </c>
      <c r="G30" s="36">
        <v>2244.9460724452401</v>
      </c>
      <c r="H30" s="36">
        <v>3031.5641638337302</v>
      </c>
      <c r="I30" s="36">
        <v>3739.7126939453901</v>
      </c>
      <c r="J30" s="36">
        <v>4607.5168260089704</v>
      </c>
      <c r="K30" s="36">
        <v>6245.1074878705003</v>
      </c>
      <c r="L30" s="36">
        <v>3925.1404766567798</v>
      </c>
    </row>
    <row r="31" spans="1:12" x14ac:dyDescent="0.3">
      <c r="A31" s="29">
        <v>26</v>
      </c>
      <c r="B31" s="62">
        <v>48687</v>
      </c>
      <c r="C31" s="63">
        <f>Supuestos!$B$8</f>
        <v>3174.67</v>
      </c>
      <c r="D31" s="36">
        <v>3743.7047521437798</v>
      </c>
      <c r="E31" s="36">
        <v>3465.9971071487298</v>
      </c>
      <c r="F31" s="36">
        <v>4101.0230827768701</v>
      </c>
      <c r="G31" s="36">
        <v>2238.2681966949099</v>
      </c>
      <c r="H31" s="36">
        <v>3023.2868855363599</v>
      </c>
      <c r="I31" s="36">
        <v>3746.3049152346898</v>
      </c>
      <c r="J31" s="36">
        <v>4653.0669797475703</v>
      </c>
      <c r="K31" s="36">
        <v>6350.2025080267504</v>
      </c>
      <c r="L31" s="36">
        <v>3951.9602936859801</v>
      </c>
    </row>
    <row r="32" spans="1:12" x14ac:dyDescent="0.3">
      <c r="A32" s="29">
        <v>27</v>
      </c>
      <c r="B32" s="62">
        <v>48778</v>
      </c>
      <c r="C32" s="63">
        <f>Supuestos!$B$8</f>
        <v>3174.67</v>
      </c>
      <c r="D32" s="36">
        <v>3761.5068613736598</v>
      </c>
      <c r="E32" s="36">
        <v>3482.4786576921001</v>
      </c>
      <c r="F32" s="36">
        <v>4120.5243163696296</v>
      </c>
      <c r="G32" s="36">
        <v>2214.8896334139799</v>
      </c>
      <c r="H32" s="36">
        <v>3027.5245387619502</v>
      </c>
      <c r="I32" s="36">
        <v>3764.4549042672702</v>
      </c>
      <c r="J32" s="36">
        <v>4688.1537087151301</v>
      </c>
      <c r="K32" s="36">
        <v>6429.03899888243</v>
      </c>
      <c r="L32" s="36">
        <v>3974.8452681966</v>
      </c>
    </row>
    <row r="33" spans="1:12" x14ac:dyDescent="0.3">
      <c r="A33" s="29">
        <v>28</v>
      </c>
      <c r="B33" s="62">
        <v>48870</v>
      </c>
      <c r="C33" s="63">
        <f>Supuestos!$B$8</f>
        <v>3174.67</v>
      </c>
      <c r="D33" s="36">
        <v>3779.39362340445</v>
      </c>
      <c r="E33" s="36">
        <v>3499.03858150005</v>
      </c>
      <c r="F33" s="36">
        <v>4140.1182824595999</v>
      </c>
      <c r="G33" s="36">
        <v>2203.8558011944401</v>
      </c>
      <c r="H33" s="36">
        <v>3025.2987098481299</v>
      </c>
      <c r="I33" s="36">
        <v>3779.57466525461</v>
      </c>
      <c r="J33" s="36">
        <v>4723.6810993571498</v>
      </c>
      <c r="K33" s="36">
        <v>6537.4083386517595</v>
      </c>
      <c r="L33" s="36">
        <v>4002.8261734129201</v>
      </c>
    </row>
    <row r="34" spans="1:12" x14ac:dyDescent="0.3">
      <c r="A34" s="29">
        <v>29</v>
      </c>
      <c r="B34" s="62">
        <v>48962</v>
      </c>
      <c r="C34" s="63">
        <f>Supuestos!$B$8</f>
        <v>3174.67</v>
      </c>
      <c r="D34" s="36">
        <v>3797.3654407781401</v>
      </c>
      <c r="E34" s="36">
        <v>3515.6772512540601</v>
      </c>
      <c r="F34" s="36">
        <v>4159.80542200948</v>
      </c>
      <c r="G34" s="36">
        <v>2194.4521309275101</v>
      </c>
      <c r="H34" s="36">
        <v>3030.6081739423798</v>
      </c>
      <c r="I34" s="36">
        <v>3808.93686080727</v>
      </c>
      <c r="J34" s="36">
        <v>4778.1292660975596</v>
      </c>
      <c r="K34" s="36">
        <v>6630.4559026683401</v>
      </c>
      <c r="L34" s="36">
        <v>4029.0508417360002</v>
      </c>
    </row>
    <row r="35" spans="1:12" x14ac:dyDescent="0.3">
      <c r="A35" s="29">
        <v>30</v>
      </c>
      <c r="B35" s="62">
        <v>49052</v>
      </c>
      <c r="C35" s="63">
        <f>Supuestos!$B$8</f>
        <v>3174.67</v>
      </c>
      <c r="D35" s="36">
        <v>3815.4227179509198</v>
      </c>
      <c r="E35" s="36">
        <v>3532.3950414077899</v>
      </c>
      <c r="F35" s="36">
        <v>4179.58617807878</v>
      </c>
      <c r="G35" s="36">
        <v>2176.8083248512798</v>
      </c>
      <c r="H35" s="36">
        <v>3029.6758800142402</v>
      </c>
      <c r="I35" s="36">
        <v>3829.4565078719702</v>
      </c>
      <c r="J35" s="36">
        <v>4818.1777045764402</v>
      </c>
      <c r="K35" s="36">
        <v>6716.80486919553</v>
      </c>
      <c r="L35" s="36">
        <v>4054.3936872803502</v>
      </c>
    </row>
    <row r="36" spans="1:12" x14ac:dyDescent="0.3">
      <c r="A36" s="29">
        <v>31</v>
      </c>
      <c r="B36" s="62">
        <v>49143</v>
      </c>
      <c r="C36" s="63">
        <f>Supuestos!$B$8</f>
        <v>3174.67</v>
      </c>
      <c r="D36" s="36">
        <v>3833.5658613022301</v>
      </c>
      <c r="E36" s="36">
        <v>3549.1923281954801</v>
      </c>
      <c r="F36" s="36">
        <v>4199.4609958339097</v>
      </c>
      <c r="G36" s="36">
        <v>2162.5962613552101</v>
      </c>
      <c r="H36" s="36">
        <v>3029.9086364058599</v>
      </c>
      <c r="I36" s="36">
        <v>3847.2336003488599</v>
      </c>
      <c r="J36" s="36">
        <v>4867.2276948038998</v>
      </c>
      <c r="K36" s="36">
        <v>6829.8483289533297</v>
      </c>
      <c r="L36" s="36">
        <v>4083.6431635731201</v>
      </c>
    </row>
    <row r="37" spans="1:12" x14ac:dyDescent="0.3">
      <c r="A37" s="29">
        <v>32</v>
      </c>
      <c r="B37" s="62">
        <v>49235</v>
      </c>
      <c r="C37" s="63">
        <f>Supuestos!$B$8</f>
        <v>3174.67</v>
      </c>
      <c r="D37" s="36">
        <v>3851.7952791439502</v>
      </c>
      <c r="E37" s="36">
        <v>3566.0694896404998</v>
      </c>
      <c r="F37" s="36">
        <v>4219.4303225580998</v>
      </c>
      <c r="G37" s="36">
        <v>2154.1700554398399</v>
      </c>
      <c r="H37" s="36">
        <v>3030.14519558747</v>
      </c>
      <c r="I37" s="36">
        <v>3864.1681713354801</v>
      </c>
      <c r="J37" s="36">
        <v>4897.7313546077803</v>
      </c>
      <c r="K37" s="36">
        <v>6888.4263787748196</v>
      </c>
      <c r="L37" s="36">
        <v>4111.1131438104803</v>
      </c>
    </row>
    <row r="38" spans="1:12" x14ac:dyDescent="0.3">
      <c r="A38" s="29">
        <v>33</v>
      </c>
      <c r="B38" s="62">
        <v>49327</v>
      </c>
      <c r="C38" s="63">
        <f>Supuestos!$B$8</f>
        <v>3174.67</v>
      </c>
      <c r="D38" s="36">
        <v>3870.11138172955</v>
      </c>
      <c r="E38" s="36">
        <v>3583.02690556374</v>
      </c>
      <c r="F38" s="36">
        <v>4239.4946076615197</v>
      </c>
      <c r="G38" s="36">
        <v>2149.9666179184201</v>
      </c>
      <c r="H38" s="36">
        <v>3035.0655797327699</v>
      </c>
      <c r="I38" s="36">
        <v>3878.4222575343802</v>
      </c>
      <c r="J38" s="36">
        <v>4952.06291382359</v>
      </c>
      <c r="K38" s="36">
        <v>7022.0797583261501</v>
      </c>
      <c r="L38" s="36">
        <v>4140.2224170518402</v>
      </c>
    </row>
    <row r="39" spans="1:12" x14ac:dyDescent="0.3">
      <c r="A39" s="29">
        <v>34</v>
      </c>
      <c r="B39" s="62">
        <v>49417</v>
      </c>
      <c r="C39" s="63">
        <f>Supuestos!$B$8</f>
        <v>3174.67</v>
      </c>
      <c r="D39" s="36">
        <v>3888.51458126336</v>
      </c>
      <c r="E39" s="36">
        <v>3600.0649575922598</v>
      </c>
      <c r="F39" s="36">
        <v>4259.6543026913896</v>
      </c>
      <c r="G39" s="36">
        <v>2132.76270671355</v>
      </c>
      <c r="H39" s="36">
        <v>3043.9027393883498</v>
      </c>
      <c r="I39" s="36">
        <v>3897.30804483772</v>
      </c>
      <c r="J39" s="36">
        <v>5005.9283879758996</v>
      </c>
      <c r="K39" s="36">
        <v>7097.4627745398402</v>
      </c>
      <c r="L39" s="36">
        <v>4169.6264220626799</v>
      </c>
    </row>
    <row r="40" spans="1:12" x14ac:dyDescent="0.3">
      <c r="A40" s="29">
        <v>35</v>
      </c>
      <c r="B40" s="62">
        <v>49508</v>
      </c>
      <c r="C40" s="63">
        <f>Supuestos!$B$8</f>
        <v>3174.67</v>
      </c>
      <c r="D40" s="36">
        <v>3907.0052919098098</v>
      </c>
      <c r="E40" s="36">
        <v>3617.18402916783</v>
      </c>
      <c r="F40" s="36">
        <v>4279.9098613421202</v>
      </c>
      <c r="G40" s="36">
        <v>2123.7839386512201</v>
      </c>
      <c r="H40" s="36">
        <v>3046.1896864128098</v>
      </c>
      <c r="I40" s="36">
        <v>3911.2591029592299</v>
      </c>
      <c r="J40" s="36">
        <v>5049.8364409731103</v>
      </c>
      <c r="K40" s="36">
        <v>7202.5315895677704</v>
      </c>
      <c r="L40" s="36">
        <v>4201.5662814413299</v>
      </c>
    </row>
    <row r="41" spans="1:12" x14ac:dyDescent="0.3">
      <c r="A41" s="29">
        <v>36</v>
      </c>
      <c r="B41" s="62">
        <v>49600</v>
      </c>
      <c r="C41" s="63">
        <f>Supuestos!$B$8</f>
        <v>3174.67</v>
      </c>
      <c r="D41" s="36">
        <v>3925.58392980279</v>
      </c>
      <c r="E41" s="36">
        <v>3634.3845055555398</v>
      </c>
      <c r="F41" s="36">
        <v>4300.2617394655199</v>
      </c>
      <c r="G41" s="36">
        <v>2109.9741867830098</v>
      </c>
      <c r="H41" s="36">
        <v>3046.2919972243899</v>
      </c>
      <c r="I41" s="36">
        <v>3931.7843605193898</v>
      </c>
      <c r="J41" s="36">
        <v>5081.7921928485903</v>
      </c>
      <c r="K41" s="36">
        <v>7318.82040376653</v>
      </c>
      <c r="L41" s="36">
        <v>4230.9224811504801</v>
      </c>
    </row>
    <row r="42" spans="1:12" x14ac:dyDescent="0.3">
      <c r="A42" s="29">
        <v>37</v>
      </c>
      <c r="B42" s="62">
        <v>49692</v>
      </c>
      <c r="C42" s="63">
        <f>Supuestos!$B$8</f>
        <v>3174.67</v>
      </c>
      <c r="D42" s="36">
        <v>3944.2509130549802</v>
      </c>
      <c r="E42" s="36">
        <v>3651.6667738525398</v>
      </c>
      <c r="F42" s="36">
        <v>4320.7103950811197</v>
      </c>
      <c r="G42" s="36">
        <v>2111.2445171235099</v>
      </c>
      <c r="H42" s="36">
        <v>3049.3329840524302</v>
      </c>
      <c r="I42" s="36">
        <v>3956.31174458961</v>
      </c>
      <c r="J42" s="36">
        <v>5131.3430921850504</v>
      </c>
      <c r="K42" s="36">
        <v>7455.8762133482396</v>
      </c>
      <c r="L42" s="36">
        <v>4261.8407399401003</v>
      </c>
    </row>
    <row r="43" spans="1:12" x14ac:dyDescent="0.3">
      <c r="A43" s="29">
        <v>38</v>
      </c>
      <c r="B43" s="62">
        <v>49783</v>
      </c>
      <c r="C43" s="63">
        <f>Supuestos!$B$8</f>
        <v>3174.67</v>
      </c>
      <c r="D43" s="36">
        <v>3963.0066617672801</v>
      </c>
      <c r="E43" s="36">
        <v>3669.0312229966698</v>
      </c>
      <c r="F43" s="36">
        <v>4341.2562883863702</v>
      </c>
      <c r="G43" s="36">
        <v>2089.74778340693</v>
      </c>
      <c r="H43" s="36">
        <v>3058.5740785120402</v>
      </c>
      <c r="I43" s="36">
        <v>3982.2865009314801</v>
      </c>
      <c r="J43" s="36">
        <v>5177.5028444958498</v>
      </c>
      <c r="K43" s="36">
        <v>7567.4012804065796</v>
      </c>
      <c r="L43" s="36">
        <v>4290.5558621003202</v>
      </c>
    </row>
    <row r="44" spans="1:12" x14ac:dyDescent="0.3">
      <c r="A44" s="29">
        <v>39</v>
      </c>
      <c r="B44" s="62">
        <v>49874</v>
      </c>
      <c r="C44" s="63">
        <f>Supuestos!$B$8</f>
        <v>3174.67</v>
      </c>
      <c r="D44" s="36">
        <v>3981.8515980382599</v>
      </c>
      <c r="E44" s="36">
        <v>3686.4782437752801</v>
      </c>
      <c r="F44" s="36">
        <v>4361.8998817670999</v>
      </c>
      <c r="G44" s="36">
        <v>2079.09694788759</v>
      </c>
      <c r="H44" s="36">
        <v>3061.55346591035</v>
      </c>
      <c r="I44" s="36">
        <v>3997.5070136600002</v>
      </c>
      <c r="J44" s="36">
        <v>5231.0610148285105</v>
      </c>
      <c r="K44" s="36">
        <v>7652.4528659064499</v>
      </c>
      <c r="L44" s="36">
        <v>4320.5272653484999</v>
      </c>
    </row>
    <row r="45" spans="1:12" x14ac:dyDescent="0.3">
      <c r="A45" s="29">
        <v>40</v>
      </c>
      <c r="B45" s="62">
        <v>49966</v>
      </c>
      <c r="C45" s="63">
        <f>Supuestos!$B$8</f>
        <v>3174.67</v>
      </c>
      <c r="D45" s="36">
        <v>4000.78614597366</v>
      </c>
      <c r="E45" s="36">
        <v>3704.00822883398</v>
      </c>
      <c r="F45" s="36">
        <v>4382.64163980787</v>
      </c>
      <c r="G45" s="36">
        <v>2076.1782834311598</v>
      </c>
      <c r="H45" s="36">
        <v>3057.7228223451998</v>
      </c>
      <c r="I45" s="36">
        <v>4017.1538108537602</v>
      </c>
      <c r="J45" s="36">
        <v>5256.3784479647302</v>
      </c>
      <c r="K45" s="36">
        <v>7779.6849922586998</v>
      </c>
      <c r="L45" s="36">
        <v>4347.2655758519104</v>
      </c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3" sqref="L12:L13"/>
    </sheetView>
  </sheetViews>
  <sheetFormatPr baseColWidth="10" defaultColWidth="8.6640625" defaultRowHeight="14.4" x14ac:dyDescent="0.3"/>
  <cols>
    <col min="1" max="1" width="11" customWidth="1"/>
    <col min="2" max="2" width="12" customWidth="1"/>
    <col min="3" max="9" width="16" customWidth="1"/>
  </cols>
  <sheetData>
    <row r="1" spans="1:9" ht="17.399999999999999" x14ac:dyDescent="0.3">
      <c r="A1" s="13" t="s">
        <v>402</v>
      </c>
    </row>
    <row r="2" spans="1:9" ht="45.75" customHeight="1" x14ac:dyDescent="0.3">
      <c r="A2" s="69"/>
      <c r="B2" s="69"/>
      <c r="C2" s="69"/>
      <c r="D2" s="69"/>
      <c r="E2" s="69"/>
      <c r="F2" s="69"/>
      <c r="G2" s="69"/>
      <c r="H2" s="69"/>
      <c r="I2" s="69"/>
    </row>
    <row r="4" spans="1:9" ht="39.75" customHeight="1" x14ac:dyDescent="0.3">
      <c r="A4" s="2" t="s">
        <v>69</v>
      </c>
      <c r="B4" s="2" t="s">
        <v>319</v>
      </c>
      <c r="C4" s="2" t="s">
        <v>264</v>
      </c>
      <c r="D4" s="2" t="s">
        <v>265</v>
      </c>
      <c r="E4" s="2" t="s">
        <v>266</v>
      </c>
      <c r="F4" s="2" t="s">
        <v>267</v>
      </c>
      <c r="G4" s="2" t="s">
        <v>268</v>
      </c>
      <c r="H4" s="2" t="s">
        <v>269</v>
      </c>
      <c r="I4" s="2" t="s">
        <v>270</v>
      </c>
    </row>
    <row r="5" spans="1:9" x14ac:dyDescent="0.3">
      <c r="A5" s="39">
        <v>0</v>
      </c>
      <c r="B5" s="56">
        <f>'Trayectorias TRM'!B5</f>
        <v>46313</v>
      </c>
      <c r="C5" s="40">
        <v>3174.67</v>
      </c>
      <c r="D5" s="40">
        <v>3174.67</v>
      </c>
      <c r="E5" s="40">
        <v>3174.67</v>
      </c>
      <c r="F5" s="40">
        <v>3174.67</v>
      </c>
      <c r="G5" s="40">
        <v>3174.67</v>
      </c>
      <c r="H5" s="40">
        <v>3174.67</v>
      </c>
      <c r="I5" s="63">
        <f>'Trayectorias TRM'!D5</f>
        <v>3174.67</v>
      </c>
    </row>
    <row r="6" spans="1:9" x14ac:dyDescent="0.3">
      <c r="A6" s="39">
        <v>1</v>
      </c>
      <c r="B6" s="56">
        <f>'Trayectorias TRM'!B6</f>
        <v>46405</v>
      </c>
      <c r="C6" s="40">
        <v>3095.4506124392201</v>
      </c>
      <c r="D6" s="40">
        <v>3631.1782277699899</v>
      </c>
      <c r="E6" s="40">
        <v>3430.8130180918201</v>
      </c>
      <c r="F6" s="40">
        <v>2954.5627823188001</v>
      </c>
      <c r="G6" s="40">
        <v>3141.84042027534</v>
      </c>
      <c r="H6" s="40">
        <v>3313.4482244228798</v>
      </c>
      <c r="I6" s="63">
        <f>'Trayectorias TRM'!D6</f>
        <v>3223.0561136357301</v>
      </c>
    </row>
    <row r="7" spans="1:9" x14ac:dyDescent="0.3">
      <c r="A7" s="39">
        <v>2</v>
      </c>
      <c r="B7" s="56">
        <f>'Trayectorias TRM'!B7</f>
        <v>46495</v>
      </c>
      <c r="C7" s="40">
        <v>3131.09679776553</v>
      </c>
      <c r="D7" s="40">
        <v>3900.2509455684599</v>
      </c>
      <c r="E7" s="40">
        <v>3496.9951436034398</v>
      </c>
      <c r="F7" s="40">
        <v>3009.9807067603401</v>
      </c>
      <c r="G7" s="40">
        <v>3279.3946657206302</v>
      </c>
      <c r="H7" s="40">
        <v>3089.4189200199698</v>
      </c>
      <c r="I7" s="63">
        <f>'Trayectorias TRM'!D7</f>
        <v>3272.17969478549</v>
      </c>
    </row>
    <row r="8" spans="1:9" x14ac:dyDescent="0.3">
      <c r="A8" s="39">
        <v>3</v>
      </c>
      <c r="B8" s="56">
        <f>'Trayectorias TRM'!B8</f>
        <v>46586</v>
      </c>
      <c r="C8" s="40">
        <v>3474.9484462741102</v>
      </c>
      <c r="D8" s="40">
        <v>3706.7000975764599</v>
      </c>
      <c r="E8" s="40">
        <v>3890.0762311511398</v>
      </c>
      <c r="F8" s="40">
        <v>3101.5505481483601</v>
      </c>
      <c r="G8" s="40">
        <v>3200.8404104681399</v>
      </c>
      <c r="H8" s="40">
        <v>2972.6619038146</v>
      </c>
      <c r="I8" s="63">
        <f>'Trayectorias TRM'!D8</f>
        <v>3322.0519834165698</v>
      </c>
    </row>
    <row r="9" spans="1:9" x14ac:dyDescent="0.3">
      <c r="A9" s="39">
        <v>4</v>
      </c>
      <c r="B9" s="56">
        <f>'Trayectorias TRM'!B9</f>
        <v>46678</v>
      </c>
      <c r="C9" s="40">
        <v>3384.2464827314898</v>
      </c>
      <c r="D9" s="40">
        <v>3594.93255310109</v>
      </c>
      <c r="E9" s="40">
        <v>3876.2441269789501</v>
      </c>
      <c r="F9" s="40">
        <v>3171.8952579403199</v>
      </c>
      <c r="G9" s="40">
        <v>3256.78075544597</v>
      </c>
      <c r="H9" s="40">
        <v>3061.5914787044399</v>
      </c>
      <c r="I9" s="63">
        <f>'Trayectorias TRM'!D9</f>
        <v>3372.68439080801</v>
      </c>
    </row>
    <row r="10" spans="1:9" x14ac:dyDescent="0.3">
      <c r="A10" s="39">
        <v>5</v>
      </c>
      <c r="B10" s="56">
        <f>'Trayectorias TRM'!B10</f>
        <v>46770</v>
      </c>
      <c r="C10" s="40">
        <v>3358.1770918020502</v>
      </c>
      <c r="D10" s="40">
        <v>3470.9255363557199</v>
      </c>
      <c r="E10" s="40">
        <v>3889.8842584351901</v>
      </c>
      <c r="F10" s="40">
        <v>3504.23106022006</v>
      </c>
      <c r="G10" s="40">
        <v>3228.1760694084901</v>
      </c>
      <c r="H10" s="40">
        <v>3253.1520607541001</v>
      </c>
      <c r="I10" s="63">
        <f>'Trayectorias TRM'!D10</f>
        <v>3388.7222196161401</v>
      </c>
    </row>
    <row r="11" spans="1:9" x14ac:dyDescent="0.3">
      <c r="A11" s="39">
        <v>6</v>
      </c>
      <c r="B11" s="56">
        <f>'Trayectorias TRM'!B11</f>
        <v>46861</v>
      </c>
      <c r="C11" s="40">
        <v>3429.9947469902299</v>
      </c>
      <c r="D11" s="40">
        <v>3226.1467630430802</v>
      </c>
      <c r="E11" s="40">
        <v>4038.1503451887602</v>
      </c>
      <c r="F11" s="40">
        <v>3178.5790390461302</v>
      </c>
      <c r="G11" s="40">
        <v>3128.66156346553</v>
      </c>
      <c r="H11" s="40">
        <v>3326.6631006472899</v>
      </c>
      <c r="I11" s="63">
        <f>'Trayectorias TRM'!D11</f>
        <v>3404.8363116979999</v>
      </c>
    </row>
    <row r="12" spans="1:9" x14ac:dyDescent="0.3">
      <c r="A12" s="39">
        <v>7</v>
      </c>
      <c r="B12" s="56">
        <f>'Trayectorias TRM'!B12</f>
        <v>46952</v>
      </c>
      <c r="C12" s="40">
        <v>3227.5306192108101</v>
      </c>
      <c r="D12" s="40">
        <v>3390.11056283072</v>
      </c>
      <c r="E12" s="40">
        <v>3707.3104026727701</v>
      </c>
      <c r="F12" s="40">
        <v>3164.5226670627098</v>
      </c>
      <c r="G12" s="40">
        <v>3147.38977989977</v>
      </c>
      <c r="H12" s="40">
        <v>3250.01048509866</v>
      </c>
      <c r="I12" s="63">
        <f>'Trayectorias TRM'!D12</f>
        <v>3421.02702970161</v>
      </c>
    </row>
    <row r="13" spans="1:9" x14ac:dyDescent="0.3">
      <c r="A13" s="39">
        <v>8</v>
      </c>
      <c r="B13" s="56">
        <f>'Trayectorias TRM'!B13</f>
        <v>47044</v>
      </c>
      <c r="C13" s="40">
        <v>3052.94404561991</v>
      </c>
      <c r="D13" s="40">
        <v>3289.9541214384599</v>
      </c>
      <c r="E13" s="40">
        <v>3166.6370900575498</v>
      </c>
      <c r="F13" s="40">
        <v>3394.01722644751</v>
      </c>
      <c r="G13" s="40">
        <v>3081.2015863296101</v>
      </c>
      <c r="H13" s="40">
        <v>3323.90656541915</v>
      </c>
      <c r="I13" s="63">
        <f>'Trayectorias TRM'!D13</f>
        <v>3437.2947379994498</v>
      </c>
    </row>
    <row r="14" spans="1:9" x14ac:dyDescent="0.3">
      <c r="A14" s="39">
        <v>9</v>
      </c>
      <c r="B14" s="56">
        <f>'Trayectorias TRM'!B14</f>
        <v>47136</v>
      </c>
      <c r="C14" s="40">
        <v>2995.00937803435</v>
      </c>
      <c r="D14" s="40">
        <v>3263.53508437858</v>
      </c>
      <c r="E14" s="40">
        <v>3183.3012887732398</v>
      </c>
      <c r="F14" s="40">
        <v>3417.4865102494</v>
      </c>
      <c r="G14" s="40">
        <v>3209.04880074219</v>
      </c>
      <c r="H14" s="40">
        <v>3234.0763983222</v>
      </c>
      <c r="I14" s="63">
        <f>'Trayectorias TRM'!D14</f>
        <v>3453.6398026966899</v>
      </c>
    </row>
    <row r="15" spans="1:9" x14ac:dyDescent="0.3">
      <c r="A15" s="39">
        <v>10</v>
      </c>
      <c r="B15" s="56">
        <f>'Trayectorias TRM'!B15</f>
        <v>47226</v>
      </c>
      <c r="C15" s="40">
        <v>2927.1418113475802</v>
      </c>
      <c r="D15" s="40">
        <v>3466.01939178163</v>
      </c>
      <c r="E15" s="40">
        <v>3756.3847204774502</v>
      </c>
      <c r="F15" s="40">
        <v>3447.7535028090001</v>
      </c>
      <c r="G15" s="40">
        <v>3099.8244072125599</v>
      </c>
      <c r="H15" s="40">
        <v>3366.00898459978</v>
      </c>
      <c r="I15" s="63">
        <f>'Trayectorias TRM'!D15</f>
        <v>3470.0625916394001</v>
      </c>
    </row>
    <row r="16" spans="1:9" x14ac:dyDescent="0.3">
      <c r="A16" s="39">
        <v>11</v>
      </c>
      <c r="B16" s="56">
        <f>'Trayectorias TRM'!B16</f>
        <v>47317</v>
      </c>
      <c r="C16" s="40">
        <v>2736.9914091761598</v>
      </c>
      <c r="D16" s="40">
        <v>3381.8500196413902</v>
      </c>
      <c r="E16" s="40">
        <v>3400.4933360187101</v>
      </c>
      <c r="F16" s="40">
        <v>3761.2281459045898</v>
      </c>
      <c r="G16" s="40">
        <v>3325.4109722171302</v>
      </c>
      <c r="H16" s="40">
        <v>3354.7077545227799</v>
      </c>
      <c r="I16" s="63">
        <f>'Trayectorias TRM'!D16</f>
        <v>3486.56347442283</v>
      </c>
    </row>
    <row r="17" spans="1:9" x14ac:dyDescent="0.3">
      <c r="A17" s="39">
        <v>12</v>
      </c>
      <c r="B17" s="56">
        <f>'Trayectorias TRM'!B17</f>
        <v>47409</v>
      </c>
      <c r="C17" s="40">
        <v>3185.6575924858898</v>
      </c>
      <c r="D17" s="40">
        <v>3567.1391930167401</v>
      </c>
      <c r="E17" s="40">
        <v>3421.4927973445501</v>
      </c>
      <c r="F17" s="40">
        <v>3518.4978943204301</v>
      </c>
      <c r="G17" s="40">
        <v>3531.1072243109502</v>
      </c>
      <c r="H17" s="40">
        <v>3293.1797926992999</v>
      </c>
      <c r="I17" s="63">
        <f>'Trayectorias TRM'!D17</f>
        <v>3503.14282239973</v>
      </c>
    </row>
    <row r="18" spans="1:9" x14ac:dyDescent="0.3">
      <c r="A18" s="39">
        <v>13</v>
      </c>
      <c r="B18" s="56">
        <f>'Trayectorias TRM'!B18</f>
        <v>47501</v>
      </c>
      <c r="C18" s="40">
        <v>3547.55477862218</v>
      </c>
      <c r="D18" s="40">
        <v>3880.8069716829</v>
      </c>
      <c r="E18" s="40">
        <v>3220.3701996268601</v>
      </c>
      <c r="F18" s="40">
        <v>3239.68383638979</v>
      </c>
      <c r="G18" s="40">
        <v>3691.5185430346301</v>
      </c>
      <c r="H18" s="40">
        <v>3467.8493315791802</v>
      </c>
      <c r="I18" s="63">
        <f>'Trayectorias TRM'!D18</f>
        <v>3519.8010086887398</v>
      </c>
    </row>
    <row r="19" spans="1:9" x14ac:dyDescent="0.3">
      <c r="A19" s="39">
        <v>14</v>
      </c>
      <c r="B19" s="56">
        <f>'Trayectorias TRM'!B19</f>
        <v>47591</v>
      </c>
      <c r="C19" s="40">
        <v>3810.7587895125098</v>
      </c>
      <c r="D19" s="40">
        <v>3994.7046358707798</v>
      </c>
      <c r="E19" s="40">
        <v>3326.0055971534998</v>
      </c>
      <c r="F19" s="40">
        <v>3307.18925997114</v>
      </c>
      <c r="G19" s="40">
        <v>3467.4198566023301</v>
      </c>
      <c r="H19" s="40">
        <v>3463.59619980873</v>
      </c>
      <c r="I19" s="63">
        <f>'Trayectorias TRM'!D19</f>
        <v>3536.5384081827101</v>
      </c>
    </row>
    <row r="20" spans="1:9" x14ac:dyDescent="0.3">
      <c r="A20" s="39">
        <v>15</v>
      </c>
      <c r="B20" s="56">
        <f>'Trayectorias TRM'!B20</f>
        <v>47682</v>
      </c>
      <c r="C20" s="40">
        <v>3754.9268705685799</v>
      </c>
      <c r="D20" s="40">
        <v>3918.5697226174402</v>
      </c>
      <c r="E20" s="40">
        <v>3398.4780349118801</v>
      </c>
      <c r="F20" s="40">
        <v>3647.5973593475001</v>
      </c>
      <c r="G20" s="40">
        <v>3725.4952219614202</v>
      </c>
      <c r="H20" s="40">
        <v>3676.6210229231301</v>
      </c>
      <c r="I20" s="63">
        <f>'Trayectorias TRM'!D20</f>
        <v>3553.3553975572299</v>
      </c>
    </row>
    <row r="21" spans="1:9" x14ac:dyDescent="0.3">
      <c r="A21" s="39">
        <v>16</v>
      </c>
      <c r="B21" s="56">
        <f>'Trayectorias TRM'!B21</f>
        <v>47774</v>
      </c>
      <c r="C21" s="40">
        <v>4008.9332198857701</v>
      </c>
      <c r="D21" s="40">
        <v>3629.49638636397</v>
      </c>
      <c r="E21" s="40">
        <v>3305.3208326211202</v>
      </c>
      <c r="F21" s="40">
        <v>3458.8098844859201</v>
      </c>
      <c r="G21" s="40">
        <v>3854.1691669085199</v>
      </c>
      <c r="H21" s="40">
        <v>3579.7533389608602</v>
      </c>
      <c r="I21" s="63">
        <f>'Trayectorias TRM'!D21</f>
        <v>3570.2523552790399</v>
      </c>
    </row>
    <row r="22" spans="1:9" x14ac:dyDescent="0.3">
      <c r="A22" s="39">
        <v>17</v>
      </c>
      <c r="B22" s="56">
        <f>'Trayectorias TRM'!B22</f>
        <v>47866</v>
      </c>
      <c r="C22" s="40">
        <v>3709.9874892401499</v>
      </c>
      <c r="D22" s="40">
        <v>3663.74200289703</v>
      </c>
      <c r="E22" s="40">
        <v>3089.4954983448101</v>
      </c>
      <c r="F22" s="40">
        <v>3549.6512092873099</v>
      </c>
      <c r="G22" s="40">
        <v>3627.2982670308302</v>
      </c>
      <c r="H22" s="40">
        <v>3512.3359543115398</v>
      </c>
      <c r="I22" s="63">
        <f>'Trayectorias TRM'!D22</f>
        <v>3587.22966161457</v>
      </c>
    </row>
    <row r="23" spans="1:9" x14ac:dyDescent="0.3">
      <c r="A23" s="39">
        <v>18</v>
      </c>
      <c r="B23" s="56">
        <f>'Trayectorias TRM'!B23</f>
        <v>47956</v>
      </c>
      <c r="C23" s="40">
        <v>3761.4600790142099</v>
      </c>
      <c r="D23" s="40">
        <v>3655.6138042719799</v>
      </c>
      <c r="E23" s="40">
        <v>3245.8711388284501</v>
      </c>
      <c r="F23" s="40">
        <v>3571.7479261532499</v>
      </c>
      <c r="G23" s="40">
        <v>3465.9489940005701</v>
      </c>
      <c r="H23" s="40">
        <v>3488.4983432598201</v>
      </c>
      <c r="I23" s="63">
        <f>'Trayectorias TRM'!D23</f>
        <v>3604.2876986384999</v>
      </c>
    </row>
    <row r="24" spans="1:9" x14ac:dyDescent="0.3">
      <c r="A24" s="39">
        <v>19</v>
      </c>
      <c r="B24" s="56">
        <f>'Trayectorias TRM'!B24</f>
        <v>48047</v>
      </c>
      <c r="C24" s="40">
        <v>3848.27650618085</v>
      </c>
      <c r="D24" s="40">
        <v>3684.9572546170498</v>
      </c>
      <c r="E24" s="40">
        <v>3250.2885257422699</v>
      </c>
      <c r="F24" s="40">
        <v>3738.2501761224999</v>
      </c>
      <c r="G24" s="40">
        <v>3688.7362405328199</v>
      </c>
      <c r="H24" s="40">
        <v>3381.61858649244</v>
      </c>
      <c r="I24" s="63">
        <f>'Trayectorias TRM'!D24</f>
        <v>3621.4268502423502</v>
      </c>
    </row>
    <row r="25" spans="1:9" x14ac:dyDescent="0.3">
      <c r="A25" s="39">
        <v>20</v>
      </c>
      <c r="B25" s="56">
        <f>'Trayectorias TRM'!B25</f>
        <v>48139</v>
      </c>
      <c r="C25" s="40">
        <v>4049.9355529283298</v>
      </c>
      <c r="D25" s="40">
        <v>3507.8900685700801</v>
      </c>
      <c r="E25" s="40">
        <v>3411.5872488998498</v>
      </c>
      <c r="F25" s="40">
        <v>3863.4726125675002</v>
      </c>
      <c r="G25" s="40">
        <v>3969.4198011024801</v>
      </c>
      <c r="H25" s="40">
        <v>3576.62009161163</v>
      </c>
      <c r="I25" s="63">
        <f>'Trayectorias TRM'!D25</f>
        <v>3638.6475021431502</v>
      </c>
    </row>
    <row r="26" spans="1:9" x14ac:dyDescent="0.3">
      <c r="A26" s="39">
        <v>21</v>
      </c>
      <c r="B26" s="56">
        <f>'Trayectorias TRM'!B26</f>
        <v>48231</v>
      </c>
      <c r="C26" s="40">
        <v>3997.6830991710999</v>
      </c>
      <c r="D26" s="40">
        <v>4012.6215566055298</v>
      </c>
      <c r="E26" s="40">
        <v>3486.6623564460201</v>
      </c>
      <c r="F26" s="40">
        <v>3881.5201532444098</v>
      </c>
      <c r="G26" s="40">
        <v>4211.5278950050197</v>
      </c>
      <c r="H26" s="40">
        <v>3880.3676090828098</v>
      </c>
      <c r="I26" s="63">
        <f>'Trayectorias TRM'!D26</f>
        <v>3655.9500418920702</v>
      </c>
    </row>
    <row r="27" spans="1:9" x14ac:dyDescent="0.3">
      <c r="A27" s="39">
        <v>22</v>
      </c>
      <c r="B27" s="56">
        <f>'Trayectorias TRM'!B27</f>
        <v>48322</v>
      </c>
      <c r="C27" s="40">
        <v>3830.84149732369</v>
      </c>
      <c r="D27" s="40">
        <v>3795.75289147792</v>
      </c>
      <c r="E27" s="40">
        <v>3424.9462962171101</v>
      </c>
      <c r="F27" s="40">
        <v>3980.2338132702498</v>
      </c>
      <c r="G27" s="40">
        <v>3953.33321877861</v>
      </c>
      <c r="H27" s="40">
        <v>3987.7714377268799</v>
      </c>
      <c r="I27" s="63">
        <f>'Trayectorias TRM'!D27</f>
        <v>3673.33485888318</v>
      </c>
    </row>
    <row r="28" spans="1:9" x14ac:dyDescent="0.3">
      <c r="A28" s="39">
        <v>23</v>
      </c>
      <c r="B28" s="56">
        <f>'Trayectorias TRM'!B28</f>
        <v>48413</v>
      </c>
      <c r="C28" s="40">
        <v>3926.79021381861</v>
      </c>
      <c r="D28" s="40">
        <v>3655.6527803202698</v>
      </c>
      <c r="E28" s="40">
        <v>3610.6772466392099</v>
      </c>
      <c r="F28" s="40">
        <v>3310.65403487914</v>
      </c>
      <c r="G28" s="40">
        <v>3857.1475088503598</v>
      </c>
      <c r="H28" s="40">
        <v>4048.0847399693398</v>
      </c>
      <c r="I28" s="63">
        <f>'Trayectorias TRM'!D28</f>
        <v>3690.8023443621901</v>
      </c>
    </row>
    <row r="29" spans="1:9" x14ac:dyDescent="0.3">
      <c r="A29" s="51">
        <v>24</v>
      </c>
      <c r="B29" s="64">
        <f>'Trayectorias TRM'!B29</f>
        <v>48505</v>
      </c>
      <c r="C29" s="65">
        <v>3826.65510870554</v>
      </c>
      <c r="D29" s="65">
        <v>3695.2577510003298</v>
      </c>
      <c r="E29" s="65">
        <v>3823.13883615244</v>
      </c>
      <c r="F29" s="65">
        <v>3590.86965609546</v>
      </c>
      <c r="G29" s="65">
        <v>3784.6601592091301</v>
      </c>
      <c r="H29" s="65">
        <v>3691.56839513352</v>
      </c>
      <c r="I29" s="66">
        <f>'Trayectorias TRM'!D29</f>
        <v>3708.3528914352801</v>
      </c>
    </row>
    <row r="30" spans="1:9" x14ac:dyDescent="0.3">
      <c r="A30" s="39">
        <v>25</v>
      </c>
      <c r="B30" s="56">
        <f>'Trayectorias TRM'!B30</f>
        <v>48597</v>
      </c>
      <c r="C30" s="40">
        <v>3796.8807187991301</v>
      </c>
      <c r="D30" s="40">
        <v>3445.9938711816799</v>
      </c>
      <c r="E30" s="40">
        <v>3994.4377689552298</v>
      </c>
      <c r="F30" s="40">
        <v>3408.1747038723101</v>
      </c>
      <c r="G30" s="40">
        <v>3932.9780605896399</v>
      </c>
      <c r="H30" s="40">
        <v>3726.4633930966302</v>
      </c>
      <c r="I30" s="63">
        <f>'Trayectorias TRM'!D30</f>
        <v>3725.9868950779201</v>
      </c>
    </row>
    <row r="31" spans="1:9" x14ac:dyDescent="0.3">
      <c r="A31" s="39">
        <v>26</v>
      </c>
      <c r="B31" s="56">
        <f>'Trayectorias TRM'!B31</f>
        <v>48687</v>
      </c>
      <c r="C31" s="40">
        <v>3644.8932600702501</v>
      </c>
      <c r="D31" s="40">
        <v>3454.49747077863</v>
      </c>
      <c r="E31" s="40">
        <v>4282.7246703708097</v>
      </c>
      <c r="F31" s="40">
        <v>3564.3584368288002</v>
      </c>
      <c r="G31" s="40">
        <v>4163.4218883820604</v>
      </c>
      <c r="H31" s="40">
        <v>3827.0120462339801</v>
      </c>
      <c r="I31" s="63">
        <f>'Trayectorias TRM'!D31</f>
        <v>3743.7047521437798</v>
      </c>
    </row>
    <row r="32" spans="1:9" x14ac:dyDescent="0.3">
      <c r="A32" s="39">
        <v>27</v>
      </c>
      <c r="B32" s="56">
        <f>'Trayectorias TRM'!B32</f>
        <v>48778</v>
      </c>
      <c r="C32" s="40">
        <v>3677.3341045473799</v>
      </c>
      <c r="D32" s="40">
        <v>3829.2340181550398</v>
      </c>
      <c r="E32" s="40">
        <v>4240.0960721963602</v>
      </c>
      <c r="F32" s="40">
        <v>3541.5219215491002</v>
      </c>
      <c r="G32" s="40">
        <v>4261.9092506733396</v>
      </c>
      <c r="H32" s="40">
        <v>3970.7837185774101</v>
      </c>
      <c r="I32" s="63">
        <f>'Trayectorias TRM'!D32</f>
        <v>3761.5068613736598</v>
      </c>
    </row>
    <row r="33" spans="1:9" x14ac:dyDescent="0.3">
      <c r="A33" s="51">
        <v>28</v>
      </c>
      <c r="B33" s="64">
        <f>'Trayectorias TRM'!B33</f>
        <v>48870</v>
      </c>
      <c r="C33" s="65">
        <v>3005.8223454896602</v>
      </c>
      <c r="D33" s="65">
        <v>3721.63235773627</v>
      </c>
      <c r="E33" s="65">
        <v>4709.8613929362</v>
      </c>
      <c r="F33" s="65">
        <v>3219.7963680077</v>
      </c>
      <c r="G33" s="65">
        <v>4345.8599655245698</v>
      </c>
      <c r="H33" s="65">
        <v>3954.1368570702598</v>
      </c>
      <c r="I33" s="66">
        <f>'Trayectorias TRM'!D33</f>
        <v>3779.39362340445</v>
      </c>
    </row>
    <row r="34" spans="1:9" x14ac:dyDescent="0.3">
      <c r="A34" s="39">
        <v>29</v>
      </c>
      <c r="B34" s="56">
        <f>'Trayectorias TRM'!B34</f>
        <v>48962</v>
      </c>
      <c r="C34" s="40">
        <v>3179.8208889136399</v>
      </c>
      <c r="D34" s="40">
        <v>3666.9433163377198</v>
      </c>
      <c r="E34" s="40">
        <v>4862.4359584659396</v>
      </c>
      <c r="F34" s="40">
        <v>3159.8784074467899</v>
      </c>
      <c r="G34" s="40">
        <v>4580.19887115868</v>
      </c>
      <c r="H34" s="40">
        <v>4426.9692093655904</v>
      </c>
      <c r="I34" s="63">
        <f>'Trayectorias TRM'!D34</f>
        <v>3797.3654407781401</v>
      </c>
    </row>
    <row r="35" spans="1:9" x14ac:dyDescent="0.3">
      <c r="A35" s="39">
        <v>30</v>
      </c>
      <c r="B35" s="56">
        <f>'Trayectorias TRM'!B35</f>
        <v>49052</v>
      </c>
      <c r="C35" s="40">
        <v>3012.1236560493198</v>
      </c>
      <c r="D35" s="40">
        <v>3743.9193238784301</v>
      </c>
      <c r="E35" s="40">
        <v>4802.2332372416504</v>
      </c>
      <c r="F35" s="40">
        <v>3285.6953115213601</v>
      </c>
      <c r="G35" s="40">
        <v>4759.5118848647098</v>
      </c>
      <c r="H35" s="40">
        <v>4803.1974460410602</v>
      </c>
      <c r="I35" s="63">
        <f>'Trayectorias TRM'!D35</f>
        <v>3815.4227179509198</v>
      </c>
    </row>
    <row r="36" spans="1:9" x14ac:dyDescent="0.3">
      <c r="A36" s="39">
        <v>31</v>
      </c>
      <c r="B36" s="56">
        <f>'Trayectorias TRM'!B36</f>
        <v>49143</v>
      </c>
      <c r="C36" s="40">
        <v>3078.5646150176999</v>
      </c>
      <c r="D36" s="40">
        <v>3783.6618555652699</v>
      </c>
      <c r="E36" s="40">
        <v>4251.7418604709501</v>
      </c>
      <c r="F36" s="40">
        <v>3137.6070898151102</v>
      </c>
      <c r="G36" s="40">
        <v>4658.7321402378102</v>
      </c>
      <c r="H36" s="40">
        <v>5214.6539248079298</v>
      </c>
      <c r="I36" s="63">
        <f>'Trayectorias TRM'!D36</f>
        <v>3833.5658613022301</v>
      </c>
    </row>
    <row r="37" spans="1:9" x14ac:dyDescent="0.3">
      <c r="A37" s="51">
        <v>32</v>
      </c>
      <c r="B37" s="64">
        <f>'Trayectorias TRM'!B37</f>
        <v>49235</v>
      </c>
      <c r="C37" s="65">
        <v>3041.5009025764198</v>
      </c>
      <c r="D37" s="65">
        <v>3336.8078754234102</v>
      </c>
      <c r="E37" s="65">
        <v>5059.3467510581504</v>
      </c>
      <c r="F37" s="65">
        <v>2966.9502703940102</v>
      </c>
      <c r="G37" s="65">
        <v>4535.5777547216203</v>
      </c>
      <c r="H37" s="65">
        <v>5356.5356277055098</v>
      </c>
      <c r="I37" s="66">
        <f>'Trayectorias TRM'!D37</f>
        <v>3851.7952791439502</v>
      </c>
    </row>
    <row r="38" spans="1:9" x14ac:dyDescent="0.3">
      <c r="A38" s="39">
        <v>33</v>
      </c>
      <c r="B38" s="56">
        <f>'Trayectorias TRM'!B38</f>
        <v>49327</v>
      </c>
      <c r="C38" s="40">
        <v>3307.9540657698399</v>
      </c>
      <c r="D38" s="40">
        <v>3214.6258542407199</v>
      </c>
      <c r="E38" s="40">
        <v>4872.4113338736997</v>
      </c>
      <c r="F38" s="40">
        <v>3187.5976748625399</v>
      </c>
      <c r="G38" s="40">
        <v>4417.9047089448804</v>
      </c>
      <c r="H38" s="40">
        <v>5104.2950911116905</v>
      </c>
      <c r="I38" s="63">
        <f>'Trayectorias TRM'!D38</f>
        <v>3870.11138172955</v>
      </c>
    </row>
    <row r="39" spans="1:9" x14ac:dyDescent="0.3">
      <c r="A39" s="39">
        <v>34</v>
      </c>
      <c r="B39" s="56">
        <f>'Trayectorias TRM'!B39</f>
        <v>49417</v>
      </c>
      <c r="C39" s="40">
        <v>3304.3307385163898</v>
      </c>
      <c r="D39" s="40">
        <v>3333.7776118224401</v>
      </c>
      <c r="E39" s="40">
        <v>4591.5677540596498</v>
      </c>
      <c r="F39" s="40">
        <v>2979.4074258840301</v>
      </c>
      <c r="G39" s="40">
        <v>4755.6611528763697</v>
      </c>
      <c r="H39" s="40">
        <v>4632.9425981920203</v>
      </c>
      <c r="I39" s="63">
        <f>'Trayectorias TRM'!D39</f>
        <v>3888.51458126336</v>
      </c>
    </row>
    <row r="40" spans="1:9" x14ac:dyDescent="0.3">
      <c r="A40" s="39">
        <v>35</v>
      </c>
      <c r="B40" s="56">
        <f>'Trayectorias TRM'!B40</f>
        <v>49508</v>
      </c>
      <c r="C40" s="40">
        <v>3248.2374500450401</v>
      </c>
      <c r="D40" s="40">
        <v>3365.6192394800901</v>
      </c>
      <c r="E40" s="40">
        <v>5099.1188996535102</v>
      </c>
      <c r="F40" s="40">
        <v>3283.4731399369398</v>
      </c>
      <c r="G40" s="40">
        <v>4800.6475910278996</v>
      </c>
      <c r="H40" s="40">
        <v>4875.7614180664996</v>
      </c>
      <c r="I40" s="63">
        <f>'Trayectorias TRM'!D40</f>
        <v>3907.0052919098098</v>
      </c>
    </row>
    <row r="41" spans="1:9" x14ac:dyDescent="0.3">
      <c r="A41" s="51">
        <v>36</v>
      </c>
      <c r="B41" s="64">
        <f>'Trayectorias TRM'!B41</f>
        <v>49600</v>
      </c>
      <c r="C41" s="65">
        <v>3249.0581877952</v>
      </c>
      <c r="D41" s="65">
        <v>3548.8585985405098</v>
      </c>
      <c r="E41" s="65">
        <v>5425.4502696890004</v>
      </c>
      <c r="F41" s="65">
        <v>3286.7372364376401</v>
      </c>
      <c r="G41" s="65">
        <v>4959.0441681996299</v>
      </c>
      <c r="H41" s="65">
        <v>5423.6439799556601</v>
      </c>
      <c r="I41" s="66">
        <f>'Trayectorias TRM'!D41</f>
        <v>3925.58392980279</v>
      </c>
    </row>
    <row r="42" spans="1:9" x14ac:dyDescent="0.3">
      <c r="A42" s="39">
        <v>37</v>
      </c>
      <c r="B42" s="56">
        <f>'Trayectorias TRM'!B42</f>
        <v>49692</v>
      </c>
      <c r="C42" s="40">
        <v>3203.2272120839698</v>
      </c>
      <c r="D42" s="40">
        <v>3674.0702449549799</v>
      </c>
      <c r="E42" s="40">
        <v>5145.2912156419497</v>
      </c>
      <c r="F42" s="40">
        <v>3307.4256217433199</v>
      </c>
      <c r="G42" s="40">
        <v>3723.8364942731901</v>
      </c>
      <c r="H42" s="40">
        <v>6217.9892349343199</v>
      </c>
      <c r="I42" s="63">
        <f>'Trayectorias TRM'!D42</f>
        <v>3944.2509130549802</v>
      </c>
    </row>
    <row r="43" spans="1:9" x14ac:dyDescent="0.3">
      <c r="A43" s="39">
        <v>38</v>
      </c>
      <c r="B43" s="56">
        <f>'Trayectorias TRM'!B43</f>
        <v>49783</v>
      </c>
      <c r="C43" s="40">
        <v>3248.46675001213</v>
      </c>
      <c r="D43" s="40">
        <v>3823.7906188643301</v>
      </c>
      <c r="E43" s="40">
        <v>5771.6865107231097</v>
      </c>
      <c r="F43" s="40">
        <v>3166.4890360005002</v>
      </c>
      <c r="G43" s="40">
        <v>4433.74439721423</v>
      </c>
      <c r="H43" s="40">
        <v>5856.7401747509603</v>
      </c>
      <c r="I43" s="63">
        <f>'Trayectorias TRM'!D43</f>
        <v>3963.0066617672801</v>
      </c>
    </row>
    <row r="44" spans="1:9" x14ac:dyDescent="0.3">
      <c r="A44" s="39">
        <v>39</v>
      </c>
      <c r="B44" s="56">
        <f>'Trayectorias TRM'!B44</f>
        <v>49874</v>
      </c>
      <c r="C44" s="40">
        <v>3084.2084580977498</v>
      </c>
      <c r="D44" s="40">
        <v>3947.6092636086901</v>
      </c>
      <c r="E44" s="40">
        <v>5815.9688521075796</v>
      </c>
      <c r="F44" s="40">
        <v>3108.4216748613198</v>
      </c>
      <c r="G44" s="40">
        <v>4345.2577012830398</v>
      </c>
      <c r="H44" s="40">
        <v>5744.2642249236696</v>
      </c>
      <c r="I44" s="63">
        <f>'Trayectorias TRM'!D44</f>
        <v>3981.8515980382599</v>
      </c>
    </row>
    <row r="45" spans="1:9" x14ac:dyDescent="0.3">
      <c r="A45" s="51">
        <v>40</v>
      </c>
      <c r="B45" s="64">
        <f>'Trayectorias TRM'!B45</f>
        <v>49966</v>
      </c>
      <c r="C45" s="65">
        <v>2915.2256893553599</v>
      </c>
      <c r="D45" s="65">
        <v>3994.06444981708</v>
      </c>
      <c r="E45" s="65">
        <v>5759.8568232893704</v>
      </c>
      <c r="F45" s="65">
        <v>2741.3926416121899</v>
      </c>
      <c r="G45" s="65">
        <v>4141.8056397933597</v>
      </c>
      <c r="H45" s="65">
        <v>5659.3114562028904</v>
      </c>
      <c r="I45" s="66">
        <f>'Trayectorias TRM'!D45</f>
        <v>4000.78614597366</v>
      </c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5"/>
  <sheetViews>
    <sheetView zoomScale="65" zoomScaleNormal="65" workbookViewId="0">
      <pane xSplit="1" ySplit="4" topLeftCell="B1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10" customWidth="1"/>
    <col min="2" max="3" width="15" customWidth="1"/>
    <col min="4" max="5" width="18.21875" bestFit="1" customWidth="1"/>
    <col min="6" max="15" width="15" customWidth="1"/>
  </cols>
  <sheetData>
    <row r="1" spans="1:15" ht="17.399999999999999" x14ac:dyDescent="0.3">
      <c r="A1" s="13" t="s">
        <v>403</v>
      </c>
    </row>
    <row r="2" spans="1:15" ht="15" customHeight="1" x14ac:dyDescent="0.3">
      <c r="A2" s="69" t="s">
        <v>404</v>
      </c>
      <c r="B2" s="69"/>
      <c r="C2" s="69"/>
      <c r="D2" s="69"/>
      <c r="E2" s="69"/>
      <c r="F2" s="69"/>
      <c r="G2" s="69"/>
      <c r="H2" s="69"/>
      <c r="I2" s="69"/>
      <c r="J2" s="69"/>
    </row>
    <row r="4" spans="1:15" ht="54" customHeight="1" x14ac:dyDescent="0.3">
      <c r="A4" s="2" t="s">
        <v>69</v>
      </c>
      <c r="B4" s="2" t="s">
        <v>405</v>
      </c>
      <c r="C4" s="2" t="s">
        <v>406</v>
      </c>
      <c r="D4" s="2" t="s">
        <v>407</v>
      </c>
      <c r="E4" s="2" t="s">
        <v>408</v>
      </c>
      <c r="F4" s="2" t="s">
        <v>409</v>
      </c>
      <c r="G4" s="2" t="s">
        <v>410</v>
      </c>
      <c r="H4" s="2" t="s">
        <v>411</v>
      </c>
      <c r="I4" s="2" t="s">
        <v>412</v>
      </c>
      <c r="J4" s="2" t="s">
        <v>413</v>
      </c>
      <c r="K4" s="2" t="s">
        <v>414</v>
      </c>
      <c r="L4" s="2" t="s">
        <v>415</v>
      </c>
      <c r="M4" s="2" t="s">
        <v>416</v>
      </c>
      <c r="N4" s="2" t="s">
        <v>417</v>
      </c>
      <c r="O4" s="2" t="s">
        <v>418</v>
      </c>
    </row>
    <row r="5" spans="1:15" x14ac:dyDescent="0.3">
      <c r="A5" s="39">
        <v>0</v>
      </c>
      <c r="B5" s="31">
        <f>Supuestos!$B$7</f>
        <v>360000000</v>
      </c>
      <c r="C5" s="31">
        <f>Supuestos!$B$7</f>
        <v>360000000</v>
      </c>
      <c r="D5" s="31">
        <f>Supuestos!$B$7</f>
        <v>360000000</v>
      </c>
      <c r="E5" s="31">
        <f>Supuestos!$B$7</f>
        <v>360000000</v>
      </c>
      <c r="F5" s="31">
        <f>Supuestos!$B$7</f>
        <v>360000000</v>
      </c>
      <c r="G5" s="31">
        <f>Supuestos!$B$7</f>
        <v>360000000</v>
      </c>
      <c r="H5" s="31">
        <f>Supuestos!$B$7</f>
        <v>360000000</v>
      </c>
      <c r="I5" s="31">
        <f>Supuestos!$B$7</f>
        <v>360000000</v>
      </c>
      <c r="J5" s="31">
        <f>Supuestos!$B$7</f>
        <v>360000000</v>
      </c>
      <c r="K5" s="31">
        <f>Supuestos!$B$7</f>
        <v>360000000</v>
      </c>
      <c r="L5" s="31">
        <f>Supuestos!$B$7</f>
        <v>360000000</v>
      </c>
      <c r="M5" s="31">
        <f>Supuestos!$B$7</f>
        <v>360000000</v>
      </c>
      <c r="N5" s="31">
        <f>Supuestos!$B$7</f>
        <v>360000000</v>
      </c>
      <c r="O5" s="31">
        <f>Supuestos!$B$7</f>
        <v>360000000</v>
      </c>
    </row>
    <row r="6" spans="1:15" x14ac:dyDescent="0.3">
      <c r="A6" s="39">
        <v>1</v>
      </c>
      <c r="B6" s="31">
        <f>-'B Supuestos'!$B$6*INDEX('Trayectorias B'!$C$5:$I$45,2,1)</f>
        <v>-15805559.393169919</v>
      </c>
      <c r="C6" s="31">
        <f>B6+IF(ISNUMBER(MATCH(1,'B Supuestos'!$D$20:$D$23,0)),INDEX('B Supuestos'!$F$20:$F$23,MATCH(1,'B Supuestos'!$D$20:$D$23,0))*(INDEX('Trayectorias B'!$C$5:$I$45,2,1)-INDEX('Trayectorias B'!$C$5:$I$45,1,1)*(1+'B Supuestos'!$B$12)),0)</f>
        <v>-15805559.393169919</v>
      </c>
      <c r="D6" s="31">
        <f>-'B Supuestos'!$B$6*INDEX('Trayectorias B'!$C$5:$I$45,2,2)</f>
        <v>-18541017.232052829</v>
      </c>
      <c r="E6" s="31">
        <f>D6+IF(ISNUMBER(MATCH(1,'B Supuestos'!$D$20:$D$23,0)),INDEX('B Supuestos'!$F$20:$F$23,MATCH(1,'B Supuestos'!$D$20:$D$23,0))*(INDEX('Trayectorias B'!$C$5:$I$45,2,2)-INDEX('Trayectorias B'!$C$5:$I$45,1,2)*(1+'B Supuestos'!$B$12)),0)</f>
        <v>-18541017.232052829</v>
      </c>
      <c r="F6" s="31">
        <f>-'B Supuestos'!$B$6*INDEX('Trayectorias B'!$C$5:$I$45,2,3)</f>
        <v>-17517940.265756879</v>
      </c>
      <c r="G6" s="31">
        <f>F6+IF(ISNUMBER(MATCH(1,'B Supuestos'!$D$20:$D$23,0)),INDEX('B Supuestos'!$F$20:$F$23,MATCH(1,'B Supuestos'!$D$20:$D$23,0))*(INDEX('Trayectorias B'!$C$5:$I$45,2,3)-INDEX('Trayectorias B'!$C$5:$I$45,1,3)*(1+'B Supuestos'!$B$12)),0)</f>
        <v>-17517940.265756879</v>
      </c>
      <c r="H6" s="31">
        <f>-'B Supuestos'!$B$6*INDEX('Trayectorias B'!$C$5:$I$45,2,4)</f>
        <v>-15086177.550088791</v>
      </c>
      <c r="I6" s="31">
        <f>H6+IF(ISNUMBER(MATCH(1,'B Supuestos'!$D$20:$D$23,0)),INDEX('B Supuestos'!$F$20:$F$23,MATCH(1,'B Supuestos'!$D$20:$D$23,0))*(INDEX('Trayectorias B'!$C$5:$I$45,2,4)-INDEX('Trayectorias B'!$C$5:$I$45,1,4)*(1+'B Supuestos'!$B$12)),0)</f>
        <v>-15086177.550088791</v>
      </c>
      <c r="J6" s="31">
        <f>-'B Supuestos'!$B$6*INDEX('Trayectorias B'!$C$5:$I$45,2,5)</f>
        <v>-16042428.577916419</v>
      </c>
      <c r="K6" s="31">
        <f>J6+IF(ISNUMBER(MATCH(1,'B Supuestos'!$D$20:$D$23,0)),INDEX('B Supuestos'!$F$20:$F$23,MATCH(1,'B Supuestos'!$D$20:$D$23,0))*(INDEX('Trayectorias B'!$C$5:$I$45,2,5)-INDEX('Trayectorias B'!$C$5:$I$45,1,5)*(1+'B Supuestos'!$B$12)),0)</f>
        <v>-16042428.577916419</v>
      </c>
      <c r="L6" s="31">
        <f>-'B Supuestos'!$B$6*INDEX('Trayectorias B'!$C$5:$I$45,2,6)</f>
        <v>-16918668.479753543</v>
      </c>
      <c r="M6" s="31">
        <f>L6+IF(ISNUMBER(MATCH(1,'B Supuestos'!$D$20:$D$23,0)),INDEX('B Supuestos'!$F$20:$F$23,MATCH(1,'B Supuestos'!$D$20:$D$23,0))*(INDEX('Trayectorias B'!$C$5:$I$45,2,6)-INDEX('Trayectorias B'!$C$5:$I$45,1,6)*(1+'B Supuestos'!$B$12)),0)</f>
        <v>-16918668.479753543</v>
      </c>
      <c r="N6" s="31">
        <f>-'B Supuestos'!$B$6*INDEX('Trayectorias B'!$C$5:$I$45,2,7)</f>
        <v>-16457120.855643827</v>
      </c>
      <c r="O6" s="31">
        <f>N6+IF(ISNUMBER(MATCH(1,'B Supuestos'!$D$20:$D$23,0)),INDEX('B Supuestos'!$F$20:$F$23,MATCH(1,'B Supuestos'!$D$20:$D$23,0))*(INDEX('Trayectorias B'!$C$5:$I$45,2,7)-INDEX('Trayectorias B'!$C$5:$I$45,1,7)*(1+'B Supuestos'!$B$12)),0)</f>
        <v>-16457120.855643827</v>
      </c>
    </row>
    <row r="7" spans="1:15" x14ac:dyDescent="0.3">
      <c r="A7" s="39">
        <v>2</v>
      </c>
      <c r="B7" s="31">
        <f>-'B Supuestos'!$B$6*INDEX('Trayectorias B'!$C$5:$I$45,3,1)</f>
        <v>-15987570.986910375</v>
      </c>
      <c r="C7" s="31">
        <f>B7+IF(ISNUMBER(MATCH(2,'B Supuestos'!$D$20:$D$23,0)),INDEX('B Supuestos'!$F$20:$F$23,MATCH(2,'B Supuestos'!$D$20:$D$23,0))*(INDEX('Trayectorias B'!$C$5:$I$45,3,1)-INDEX('Trayectorias B'!$C$5:$I$45,1,1)*(1+'B Supuestos'!$B$12)),0)</f>
        <v>-15987570.986910375</v>
      </c>
      <c r="D7" s="31">
        <f>-'B Supuestos'!$B$6*INDEX('Trayectorias B'!$C$5:$I$45,3,2)</f>
        <v>-19914918.920277186</v>
      </c>
      <c r="E7" s="31">
        <f>D7+IF(ISNUMBER(MATCH(2,'B Supuestos'!$D$20:$D$23,0)),INDEX('B Supuestos'!$F$20:$F$23,MATCH(2,'B Supuestos'!$D$20:$D$23,0))*(INDEX('Trayectorias B'!$C$5:$I$45,3,2)-INDEX('Trayectorias B'!$C$5:$I$45,1,2)*(1+'B Supuestos'!$B$12)),0)</f>
        <v>-19914918.920277186</v>
      </c>
      <c r="F7" s="31">
        <f>-'B Supuestos'!$B$6*INDEX('Trayectorias B'!$C$5:$I$45,3,3)</f>
        <v>-17855870.230246231</v>
      </c>
      <c r="G7" s="31">
        <f>F7+IF(ISNUMBER(MATCH(2,'B Supuestos'!$D$20:$D$23,0)),INDEX('B Supuestos'!$F$20:$F$23,MATCH(2,'B Supuestos'!$D$20:$D$23,0))*(INDEX('Trayectorias B'!$C$5:$I$45,3,3)-INDEX('Trayectorias B'!$C$5:$I$45,1,3)*(1+'B Supuestos'!$B$12)),0)</f>
        <v>-17855870.230246231</v>
      </c>
      <c r="H7" s="31">
        <f>-'B Supuestos'!$B$6*INDEX('Trayectorias B'!$C$5:$I$45,3,4)</f>
        <v>-15369144.848189775</v>
      </c>
      <c r="I7" s="31">
        <f>H7+IF(ISNUMBER(MATCH(2,'B Supuestos'!$D$20:$D$23,0)),INDEX('B Supuestos'!$F$20:$F$23,MATCH(2,'B Supuestos'!$D$20:$D$23,0))*(INDEX('Trayectorias B'!$C$5:$I$45,3,4)-INDEX('Trayectorias B'!$C$5:$I$45,1,4)*(1+'B Supuestos'!$B$12)),0)</f>
        <v>-15369144.848189775</v>
      </c>
      <c r="J7" s="31">
        <f>-'B Supuestos'!$B$6*INDEX('Trayectorias B'!$C$5:$I$45,3,5)</f>
        <v>-16744788.934573827</v>
      </c>
      <c r="K7" s="31">
        <f>J7+IF(ISNUMBER(MATCH(2,'B Supuestos'!$D$20:$D$23,0)),INDEX('B Supuestos'!$F$20:$F$23,MATCH(2,'B Supuestos'!$D$20:$D$23,0))*(INDEX('Trayectorias B'!$C$5:$I$45,3,5)-INDEX('Trayectorias B'!$C$5:$I$45,1,5)*(1+'B Supuestos'!$B$12)),0)</f>
        <v>-16744788.934573827</v>
      </c>
      <c r="L7" s="31">
        <f>-'B Supuestos'!$B$6*INDEX('Trayectorias B'!$C$5:$I$45,3,6)</f>
        <v>-15774761.204243664</v>
      </c>
      <c r="M7" s="31">
        <f>L7+IF(ISNUMBER(MATCH(2,'B Supuestos'!$D$20:$D$23,0)),INDEX('B Supuestos'!$F$20:$F$23,MATCH(2,'B Supuestos'!$D$20:$D$23,0))*(INDEX('Trayectorias B'!$C$5:$I$45,3,6)-INDEX('Trayectorias B'!$C$5:$I$45,1,6)*(1+'B Supuestos'!$B$12)),0)</f>
        <v>-15774761.204243664</v>
      </c>
      <c r="N7" s="31">
        <f>-'B Supuestos'!$B$6*INDEX('Trayectorias B'!$C$5:$I$45,3,7)</f>
        <v>-16707948.853463475</v>
      </c>
      <c r="O7" s="31">
        <f>N7+IF(ISNUMBER(MATCH(2,'B Supuestos'!$D$20:$D$23,0)),INDEX('B Supuestos'!$F$20:$F$23,MATCH(2,'B Supuestos'!$D$20:$D$23,0))*(INDEX('Trayectorias B'!$C$5:$I$45,3,7)-INDEX('Trayectorias B'!$C$5:$I$45,1,7)*(1+'B Supuestos'!$B$12)),0)</f>
        <v>-16707948.853463475</v>
      </c>
    </row>
    <row r="8" spans="1:15" x14ac:dyDescent="0.3">
      <c r="A8" s="39">
        <v>3</v>
      </c>
      <c r="B8" s="31">
        <f>-'B Supuestos'!$B$6*INDEX('Trayectorias B'!$C$5:$I$45,4,1)</f>
        <v>-17743298.450660523</v>
      </c>
      <c r="C8" s="31">
        <f>B8+IF(ISNUMBER(MATCH(3,'B Supuestos'!$D$20:$D$23,0)),INDEX('B Supuestos'!$F$20:$F$23,MATCH(3,'B Supuestos'!$D$20:$D$23,0))*(INDEX('Trayectorias B'!$C$5:$I$45,4,1)-INDEX('Trayectorias B'!$C$5:$I$45,1,1)*(1+'B Supuestos'!$B$12)),0)</f>
        <v>-17743298.450660523</v>
      </c>
      <c r="D8" s="31">
        <f>-'B Supuestos'!$B$6*INDEX('Trayectorias B'!$C$5:$I$45,4,2)</f>
        <v>-18926636.499862369</v>
      </c>
      <c r="E8" s="31">
        <f>D8+IF(ISNUMBER(MATCH(3,'B Supuestos'!$D$20:$D$23,0)),INDEX('B Supuestos'!$F$20:$F$23,MATCH(3,'B Supuestos'!$D$20:$D$23,0))*(INDEX('Trayectorias B'!$C$5:$I$45,4,2)-INDEX('Trayectorias B'!$C$5:$I$45,1,2)*(1+'B Supuestos'!$B$12)),0)</f>
        <v>-18926636.499862369</v>
      </c>
      <c r="F8" s="31">
        <f>-'B Supuestos'!$B$6*INDEX('Trayectorias B'!$C$5:$I$45,4,3)</f>
        <v>-19862966.208647661</v>
      </c>
      <c r="G8" s="31">
        <f>F8+IF(ISNUMBER(MATCH(3,'B Supuestos'!$D$20:$D$23,0)),INDEX('B Supuestos'!$F$20:$F$23,MATCH(3,'B Supuestos'!$D$20:$D$23,0))*(INDEX('Trayectorias B'!$C$5:$I$45,4,3)-INDEX('Trayectorias B'!$C$5:$I$45,1,3)*(1+'B Supuestos'!$B$12)),0)</f>
        <v>-19862966.208647661</v>
      </c>
      <c r="H8" s="31">
        <f>-'B Supuestos'!$B$6*INDEX('Trayectorias B'!$C$5:$I$45,4,4)</f>
        <v>-15836706.036491537</v>
      </c>
      <c r="I8" s="31">
        <f>H8+IF(ISNUMBER(MATCH(3,'B Supuestos'!$D$20:$D$23,0)),INDEX('B Supuestos'!$F$20:$F$23,MATCH(3,'B Supuestos'!$D$20:$D$23,0))*(INDEX('Trayectorias B'!$C$5:$I$45,4,4)-INDEX('Trayectorias B'!$C$5:$I$45,1,4)*(1+'B Supuestos'!$B$12)),0)</f>
        <v>-15836706.036491537</v>
      </c>
      <c r="J8" s="31">
        <f>-'B Supuestos'!$B$6*INDEX('Trayectorias B'!$C$5:$I$45,4,5)</f>
        <v>-16343686.121952603</v>
      </c>
      <c r="K8" s="31">
        <f>J8+IF(ISNUMBER(MATCH(3,'B Supuestos'!$D$20:$D$23,0)),INDEX('B Supuestos'!$F$20:$F$23,MATCH(3,'B Supuestos'!$D$20:$D$23,0))*(INDEX('Trayectorias B'!$C$5:$I$45,4,5)-INDEX('Trayectorias B'!$C$5:$I$45,1,5)*(1+'B Supuestos'!$B$12)),0)</f>
        <v>-16343686.121952603</v>
      </c>
      <c r="L8" s="31">
        <f>-'B Supuestos'!$B$6*INDEX('Trayectorias B'!$C$5:$I$45,4,6)</f>
        <v>-15178592.766993396</v>
      </c>
      <c r="M8" s="31">
        <f>L8+IF(ISNUMBER(MATCH(3,'B Supuestos'!$D$20:$D$23,0)),INDEX('B Supuestos'!$F$20:$F$23,MATCH(3,'B Supuestos'!$D$20:$D$23,0))*(INDEX('Trayectorias B'!$C$5:$I$45,4,6)-INDEX('Trayectorias B'!$C$5:$I$45,1,6)*(1+'B Supuestos'!$B$12)),0)</f>
        <v>-15178592.766993396</v>
      </c>
      <c r="N8" s="31">
        <f>-'B Supuestos'!$B$6*INDEX('Trayectorias B'!$C$5:$I$45,4,7)</f>
        <v>-16962599.797291875</v>
      </c>
      <c r="O8" s="31">
        <f>N8+IF(ISNUMBER(MATCH(3,'B Supuestos'!$D$20:$D$23,0)),INDEX('B Supuestos'!$F$20:$F$23,MATCH(3,'B Supuestos'!$D$20:$D$23,0))*(INDEX('Trayectorias B'!$C$5:$I$45,4,7)-INDEX('Trayectorias B'!$C$5:$I$45,1,7)*(1+'B Supuestos'!$B$12)),0)</f>
        <v>-16962599.797291875</v>
      </c>
    </row>
    <row r="9" spans="1:15" x14ac:dyDescent="0.3">
      <c r="A9" s="39">
        <v>4</v>
      </c>
      <c r="B9" s="31">
        <f>-'B Supuestos'!$B$6*INDEX('Trayectorias B'!$C$5:$I$45,5,1)</f>
        <v>-17280168.699506022</v>
      </c>
      <c r="C9" s="31">
        <f>B9+IF(ISNUMBER(MATCH(4,'B Supuestos'!$D$20:$D$23,0)),INDEX('B Supuestos'!$F$20:$F$23,MATCH(4,'B Supuestos'!$D$20:$D$23,0))*(INDEX('Trayectorias B'!$C$5:$I$45,5,1)-INDEX('Trayectorias B'!$C$5:$I$45,1,1)*(1+'B Supuestos'!$B$12)),0)</f>
        <v>-17280168.699506022</v>
      </c>
      <c r="D9" s="31">
        <f>-'B Supuestos'!$B$6*INDEX('Trayectorias B'!$C$5:$I$45,5,2)</f>
        <v>-18355944.609209921</v>
      </c>
      <c r="E9" s="31">
        <f>D9+IF(ISNUMBER(MATCH(4,'B Supuestos'!$D$20:$D$23,0)),INDEX('B Supuestos'!$F$20:$F$23,MATCH(4,'B Supuestos'!$D$20:$D$23,0))*(INDEX('Trayectorias B'!$C$5:$I$45,5,2)-INDEX('Trayectorias B'!$C$5:$I$45,1,2)*(1+'B Supuestos'!$B$12)),0)</f>
        <v>-18355944.609209921</v>
      </c>
      <c r="F9" s="31">
        <f>-'B Supuestos'!$B$6*INDEX('Trayectorias B'!$C$5:$I$45,5,3)</f>
        <v>-19792338.642131981</v>
      </c>
      <c r="G9" s="31">
        <f>F9+IF(ISNUMBER(MATCH(4,'B Supuestos'!$D$20:$D$23,0)),INDEX('B Supuestos'!$F$20:$F$23,MATCH(4,'B Supuestos'!$D$20:$D$23,0))*(INDEX('Trayectorias B'!$C$5:$I$45,5,3)-INDEX('Trayectorias B'!$C$5:$I$45,1,3)*(1+'B Supuestos'!$B$12)),0)</f>
        <v>-19792338.642131981</v>
      </c>
      <c r="H9" s="31">
        <f>-'B Supuestos'!$B$6*INDEX('Trayectorias B'!$C$5:$I$45,5,4)</f>
        <v>-16195890.409889113</v>
      </c>
      <c r="I9" s="31">
        <f>H9+IF(ISNUMBER(MATCH(4,'B Supuestos'!$D$20:$D$23,0)),INDEX('B Supuestos'!$F$20:$F$23,MATCH(4,'B Supuestos'!$D$20:$D$23,0))*(INDEX('Trayectorias B'!$C$5:$I$45,5,4)-INDEX('Trayectorias B'!$C$5:$I$45,1,4)*(1+'B Supuestos'!$B$12)),0)</f>
        <v>-16195890.409889113</v>
      </c>
      <c r="J9" s="31">
        <f>-'B Supuestos'!$B$6*INDEX('Trayectorias B'!$C$5:$I$45,5,5)</f>
        <v>-16629320.93113626</v>
      </c>
      <c r="K9" s="31">
        <f>J9+IF(ISNUMBER(MATCH(4,'B Supuestos'!$D$20:$D$23,0)),INDEX('B Supuestos'!$F$20:$F$23,MATCH(4,'B Supuestos'!$D$20:$D$23,0))*(INDEX('Trayectorias B'!$C$5:$I$45,5,5)-INDEX('Trayectorias B'!$C$5:$I$45,1,5)*(1+'B Supuestos'!$B$12)),0)</f>
        <v>-16629320.93113626</v>
      </c>
      <c r="L9" s="31">
        <f>-'B Supuestos'!$B$6*INDEX('Trayectorias B'!$C$5:$I$45,5,6)</f>
        <v>-15632672.593717918</v>
      </c>
      <c r="M9" s="31">
        <f>L9+IF(ISNUMBER(MATCH(4,'B Supuestos'!$D$20:$D$23,0)),INDEX('B Supuestos'!$F$20:$F$23,MATCH(4,'B Supuestos'!$D$20:$D$23,0))*(INDEX('Trayectorias B'!$C$5:$I$45,5,6)-INDEX('Trayectorias B'!$C$5:$I$45,1,6)*(1+'B Supuestos'!$B$12)),0)</f>
        <v>-15632672.593717918</v>
      </c>
      <c r="N9" s="31">
        <f>-'B Supuestos'!$B$6*INDEX('Trayectorias B'!$C$5:$I$45,5,7)</f>
        <v>-17221131.95381495</v>
      </c>
      <c r="O9" s="31">
        <f>N9+IF(ISNUMBER(MATCH(4,'B Supuestos'!$D$20:$D$23,0)),INDEX('B Supuestos'!$F$20:$F$23,MATCH(4,'B Supuestos'!$D$20:$D$23,0))*(INDEX('Trayectorias B'!$C$5:$I$45,5,7)-INDEX('Trayectorias B'!$C$5:$I$45,1,7)*(1+'B Supuestos'!$B$12)),0)</f>
        <v>-17221131.95381495</v>
      </c>
    </row>
    <row r="10" spans="1:15" x14ac:dyDescent="0.3">
      <c r="A10" s="39">
        <v>5</v>
      </c>
      <c r="B10" s="31">
        <f>-'B Supuestos'!$B$6*INDEX('Trayectorias B'!$C$5:$I$45,6,1)</f>
        <v>-17147056.801347088</v>
      </c>
      <c r="C10" s="31">
        <f>B10+IF(ISNUMBER(MATCH(5,'B Supuestos'!$D$20:$D$23,0)),INDEX('B Supuestos'!$F$20:$F$23,MATCH(5,'B Supuestos'!$D$20:$D$23,0))*(INDEX('Trayectorias B'!$C$5:$I$45,6,1)-INDEX('Trayectorias B'!$C$5:$I$45,2,1)*(1+'B Supuestos'!$B$12)),0)</f>
        <v>-17147056.801347088</v>
      </c>
      <c r="D10" s="31">
        <f>-'B Supuestos'!$B$6*INDEX('Trayectorias B'!$C$5:$I$45,6,2)</f>
        <v>-17722757.22755298</v>
      </c>
      <c r="E10" s="31">
        <f>D10+IF(ISNUMBER(MATCH(5,'B Supuestos'!$D$20:$D$23,0)),INDEX('B Supuestos'!$F$20:$F$23,MATCH(5,'B Supuestos'!$D$20:$D$23,0))*(INDEX('Trayectorias B'!$C$5:$I$45,6,2)-INDEX('Trayectorias B'!$C$5:$I$45,2,2)*(1+'B Supuestos'!$B$12)),0)</f>
        <v>-17722757.22755298</v>
      </c>
      <c r="F10" s="31">
        <f>-'B Supuestos'!$B$6*INDEX('Trayectorias B'!$C$5:$I$45,6,3)</f>
        <v>-19861985.984265588</v>
      </c>
      <c r="G10" s="31">
        <f>F10+IF(ISNUMBER(MATCH(5,'B Supuestos'!$D$20:$D$23,0)),INDEX('B Supuestos'!$F$20:$F$23,MATCH(5,'B Supuestos'!$D$20:$D$23,0))*(INDEX('Trayectorias B'!$C$5:$I$45,6,3)-INDEX('Trayectorias B'!$C$5:$I$45,2,3)*(1+'B Supuestos'!$B$12)),0)</f>
        <v>-19861985.984265588</v>
      </c>
      <c r="H10" s="31">
        <f>-'B Supuestos'!$B$6*INDEX('Trayectorias B'!$C$5:$I$45,6,4)</f>
        <v>-17892817.261282172</v>
      </c>
      <c r="I10" s="31">
        <f>H10+IF(ISNUMBER(MATCH(5,'B Supuestos'!$D$20:$D$23,0)),INDEX('B Supuestos'!$F$20:$F$23,MATCH(5,'B Supuestos'!$D$20:$D$23,0))*(INDEX('Trayectorias B'!$C$5:$I$45,6,4)-INDEX('Trayectorias B'!$C$5:$I$45,2,4)*(1+'B Supuestos'!$B$12)),0)</f>
        <v>-17892817.261282172</v>
      </c>
      <c r="J10" s="31">
        <f>-'B Supuestos'!$B$6*INDEX('Trayectorias B'!$C$5:$I$45,6,5)</f>
        <v>-16483263.661712697</v>
      </c>
      <c r="K10" s="31">
        <f>J10+IF(ISNUMBER(MATCH(5,'B Supuestos'!$D$20:$D$23,0)),INDEX('B Supuestos'!$F$20:$F$23,MATCH(5,'B Supuestos'!$D$20:$D$23,0))*(INDEX('Trayectorias B'!$C$5:$I$45,6,5)-INDEX('Trayectorias B'!$C$5:$I$45,2,5)*(1+'B Supuestos'!$B$12)),0)</f>
        <v>-16483263.661712697</v>
      </c>
      <c r="L10" s="31">
        <f>-'B Supuestos'!$B$6*INDEX('Trayectorias B'!$C$5:$I$45,6,6)</f>
        <v>-16610792.594989803</v>
      </c>
      <c r="M10" s="31">
        <f>L10+IF(ISNUMBER(MATCH(5,'B Supuestos'!$D$20:$D$23,0)),INDEX('B Supuestos'!$F$20:$F$23,MATCH(5,'B Supuestos'!$D$20:$D$23,0))*(INDEX('Trayectorias B'!$C$5:$I$45,6,6)-INDEX('Trayectorias B'!$C$5:$I$45,2,6)*(1+'B Supuestos'!$B$12)),0)</f>
        <v>-16610792.594989803</v>
      </c>
      <c r="N10" s="31">
        <f>-'B Supuestos'!$B$6*INDEX('Trayectorias B'!$C$5:$I$45,6,7)</f>
        <v>-17303022.08468822</v>
      </c>
      <c r="O10" s="31">
        <f>N10+IF(ISNUMBER(MATCH(5,'B Supuestos'!$D$20:$D$23,0)),INDEX('B Supuestos'!$F$20:$F$23,MATCH(5,'B Supuestos'!$D$20:$D$23,0))*(INDEX('Trayectorias B'!$C$5:$I$45,6,7)-INDEX('Trayectorias B'!$C$5:$I$45,2,7)*(1+'B Supuestos'!$B$12)),0)</f>
        <v>-17303022.08468822</v>
      </c>
    </row>
    <row r="11" spans="1:15" x14ac:dyDescent="0.3">
      <c r="A11" s="39">
        <v>6</v>
      </c>
      <c r="B11" s="31">
        <f>-'B Supuestos'!$B$6*INDEX('Trayectorias B'!$C$5:$I$45,7,1)</f>
        <v>-17513762.123665411</v>
      </c>
      <c r="C11" s="31">
        <f>B11+IF(ISNUMBER(MATCH(6,'B Supuestos'!$D$20:$D$23,0)),INDEX('B Supuestos'!$F$20:$F$23,MATCH(6,'B Supuestos'!$D$20:$D$23,0))*(INDEX('Trayectorias B'!$C$5:$I$45,7,1)-INDEX('Trayectorias B'!$C$5:$I$45,3,1)*(1+'B Supuestos'!$B$12)),0)</f>
        <v>-17513762.123665411</v>
      </c>
      <c r="D11" s="31">
        <f>-'B Supuestos'!$B$6*INDEX('Trayectorias B'!$C$5:$I$45,7,2)</f>
        <v>-16472901.899791336</v>
      </c>
      <c r="E11" s="31">
        <f>D11+IF(ISNUMBER(MATCH(6,'B Supuestos'!$D$20:$D$23,0)),INDEX('B Supuestos'!$F$20:$F$23,MATCH(6,'B Supuestos'!$D$20:$D$23,0))*(INDEX('Trayectorias B'!$C$5:$I$45,7,2)-INDEX('Trayectorias B'!$C$5:$I$45,3,2)*(1+'B Supuestos'!$B$12)),0)</f>
        <v>-16472901.899791336</v>
      </c>
      <c r="F11" s="31">
        <f>-'B Supuestos'!$B$6*INDEX('Trayectorias B'!$C$5:$I$45,7,3)</f>
        <v>-20619041.65517801</v>
      </c>
      <c r="G11" s="31">
        <f>F11+IF(ISNUMBER(MATCH(6,'B Supuestos'!$D$20:$D$23,0)),INDEX('B Supuestos'!$F$20:$F$23,MATCH(6,'B Supuestos'!$D$20:$D$23,0))*(INDEX('Trayectorias B'!$C$5:$I$45,7,3)-INDEX('Trayectorias B'!$C$5:$I$45,3,3)*(1+'B Supuestos'!$B$12)),0)</f>
        <v>-20619041.65517801</v>
      </c>
      <c r="H11" s="31">
        <f>-'B Supuestos'!$B$6*INDEX('Trayectorias B'!$C$5:$I$45,7,4)</f>
        <v>-16230018.203372333</v>
      </c>
      <c r="I11" s="31">
        <f>H11+IF(ISNUMBER(MATCH(6,'B Supuestos'!$D$20:$D$23,0)),INDEX('B Supuestos'!$F$20:$F$23,MATCH(6,'B Supuestos'!$D$20:$D$23,0))*(INDEX('Trayectorias B'!$C$5:$I$45,7,4)-INDEX('Trayectorias B'!$C$5:$I$45,3,4)*(1+'B Supuestos'!$B$12)),0)</f>
        <v>-16230018.203372333</v>
      </c>
      <c r="J11" s="31">
        <f>-'B Supuestos'!$B$6*INDEX('Trayectorias B'!$C$5:$I$45,7,5)</f>
        <v>-15975136.532227021</v>
      </c>
      <c r="K11" s="31">
        <f>J11+IF(ISNUMBER(MATCH(6,'B Supuestos'!$D$20:$D$23,0)),INDEX('B Supuestos'!$F$20:$F$23,MATCH(6,'B Supuestos'!$D$20:$D$23,0))*(INDEX('Trayectorias B'!$C$5:$I$45,7,5)-INDEX('Trayectorias B'!$C$5:$I$45,3,5)*(1+'B Supuestos'!$B$12)),0)</f>
        <v>-15975136.532227021</v>
      </c>
      <c r="L11" s="31">
        <f>-'B Supuestos'!$B$6*INDEX('Trayectorias B'!$C$5:$I$45,7,6)</f>
        <v>-16986144.442768089</v>
      </c>
      <c r="M11" s="31">
        <f>L11+IF(ISNUMBER(MATCH(6,'B Supuestos'!$D$20:$D$23,0)),INDEX('B Supuestos'!$F$20:$F$23,MATCH(6,'B Supuestos'!$D$20:$D$23,0))*(INDEX('Trayectorias B'!$C$5:$I$45,7,6)-INDEX('Trayectorias B'!$C$5:$I$45,3,6)*(1+'B Supuestos'!$B$12)),0)</f>
        <v>-16986144.442768089</v>
      </c>
      <c r="N11" s="31">
        <f>-'B Supuestos'!$B$6*INDEX('Trayectorias B'!$C$5:$I$45,7,7)</f>
        <v>-17385301.620482896</v>
      </c>
      <c r="O11" s="31">
        <f>N11+IF(ISNUMBER(MATCH(6,'B Supuestos'!$D$20:$D$23,0)),INDEX('B Supuestos'!$F$20:$F$23,MATCH(6,'B Supuestos'!$D$20:$D$23,0))*(INDEX('Trayectorias B'!$C$5:$I$45,7,7)-INDEX('Trayectorias B'!$C$5:$I$45,3,7)*(1+'B Supuestos'!$B$12)),0)</f>
        <v>-17385301.620482896</v>
      </c>
    </row>
    <row r="12" spans="1:15" x14ac:dyDescent="0.3">
      <c r="A12" s="39">
        <v>7</v>
      </c>
      <c r="B12" s="31">
        <f>-'B Supuestos'!$B$6*INDEX('Trayectorias B'!$C$5:$I$45,8,1)</f>
        <v>-16479967.95368435</v>
      </c>
      <c r="C12" s="31">
        <f>B12+IF(ISNUMBER(MATCH(7,'B Supuestos'!$D$20:$D$23,0)),INDEX('B Supuestos'!$F$20:$F$23,MATCH(7,'B Supuestos'!$D$20:$D$23,0))*(INDEX('Trayectorias B'!$C$5:$I$45,8,1)-INDEX('Trayectorias B'!$C$5:$I$45,4,1)*(1+'B Supuestos'!$B$12)),0)</f>
        <v>-16479967.95368435</v>
      </c>
      <c r="D12" s="31">
        <f>-'B Supuestos'!$B$6*INDEX('Trayectorias B'!$C$5:$I$45,8,2)</f>
        <v>-17310111.049715787</v>
      </c>
      <c r="E12" s="31">
        <f>D12+IF(ISNUMBER(MATCH(7,'B Supuestos'!$D$20:$D$23,0)),INDEX('B Supuestos'!$F$20:$F$23,MATCH(7,'B Supuestos'!$D$20:$D$23,0))*(INDEX('Trayectorias B'!$C$5:$I$45,8,2)-INDEX('Trayectorias B'!$C$5:$I$45,4,2)*(1+'B Supuestos'!$B$12)),0)</f>
        <v>-17310111.049715787</v>
      </c>
      <c r="F12" s="31">
        <f>-'B Supuestos'!$B$6*INDEX('Trayectorias B'!$C$5:$I$45,8,3)</f>
        <v>-18929752.754862182</v>
      </c>
      <c r="G12" s="31">
        <f>F12+IF(ISNUMBER(MATCH(7,'B Supuestos'!$D$20:$D$23,0)),INDEX('B Supuestos'!$F$20:$F$23,MATCH(7,'B Supuestos'!$D$20:$D$23,0))*(INDEX('Trayectorias B'!$C$5:$I$45,8,3)-INDEX('Trayectorias B'!$C$5:$I$45,4,3)*(1+'B Supuestos'!$B$12)),0)</f>
        <v>-18929752.754862182</v>
      </c>
      <c r="H12" s="31">
        <f>-'B Supuestos'!$B$6*INDEX('Trayectorias B'!$C$5:$I$45,8,4)</f>
        <v>-16158245.51175075</v>
      </c>
      <c r="I12" s="31">
        <f>H12+IF(ISNUMBER(MATCH(7,'B Supuestos'!$D$20:$D$23,0)),INDEX('B Supuestos'!$F$20:$F$23,MATCH(7,'B Supuestos'!$D$20:$D$23,0))*(INDEX('Trayectorias B'!$C$5:$I$45,8,4)-INDEX('Trayectorias B'!$C$5:$I$45,4,4)*(1+'B Supuestos'!$B$12)),0)</f>
        <v>-16158245.51175075</v>
      </c>
      <c r="J12" s="31">
        <f>-'B Supuestos'!$B$6*INDEX('Trayectorias B'!$C$5:$I$45,8,5)</f>
        <v>-16070763.946209978</v>
      </c>
      <c r="K12" s="31">
        <f>J12+IF(ISNUMBER(MATCH(7,'B Supuestos'!$D$20:$D$23,0)),INDEX('B Supuestos'!$F$20:$F$23,MATCH(7,'B Supuestos'!$D$20:$D$23,0))*(INDEX('Trayectorias B'!$C$5:$I$45,8,5)-INDEX('Trayectorias B'!$C$5:$I$45,4,5)*(1+'B Supuestos'!$B$12)),0)</f>
        <v>-16070763.946209978</v>
      </c>
      <c r="L12" s="31">
        <f>-'B Supuestos'!$B$6*INDEX('Trayectorias B'!$C$5:$I$45,8,6)</f>
        <v>-16594751.518317264</v>
      </c>
      <c r="M12" s="31">
        <f>L12+IF(ISNUMBER(MATCH(7,'B Supuestos'!$D$20:$D$23,0)),INDEX('B Supuestos'!$F$20:$F$23,MATCH(7,'B Supuestos'!$D$20:$D$23,0))*(INDEX('Trayectorias B'!$C$5:$I$45,8,6)-INDEX('Trayectorias B'!$C$5:$I$45,4,6)*(1+'B Supuestos'!$B$12)),0)</f>
        <v>-16594751.518317264</v>
      </c>
      <c r="N12" s="31">
        <f>-'B Supuestos'!$B$6*INDEX('Trayectorias B'!$C$5:$I$45,8,7)</f>
        <v>-17467972.41290186</v>
      </c>
      <c r="O12" s="31">
        <f>N12+IF(ISNUMBER(MATCH(7,'B Supuestos'!$D$20:$D$23,0)),INDEX('B Supuestos'!$F$20:$F$23,MATCH(7,'B Supuestos'!$D$20:$D$23,0))*(INDEX('Trayectorias B'!$C$5:$I$45,8,7)-INDEX('Trayectorias B'!$C$5:$I$45,4,7)*(1+'B Supuestos'!$B$12)),0)</f>
        <v>-17467972.41290186</v>
      </c>
    </row>
    <row r="13" spans="1:15" x14ac:dyDescent="0.3">
      <c r="A13" s="39">
        <v>8</v>
      </c>
      <c r="B13" s="31">
        <f>-'B Supuestos'!$B$6*INDEX('Trayectorias B'!$C$5:$I$45,9,1)</f>
        <v>-15588518.273611257</v>
      </c>
      <c r="C13" s="31">
        <f>B13+IF(ISNUMBER(MATCH(8,'B Supuestos'!$D$20:$D$23,0)),INDEX('B Supuestos'!$F$20:$F$23,MATCH(8,'B Supuestos'!$D$20:$D$23,0))*(INDEX('Trayectorias B'!$C$5:$I$45,9,1)-INDEX('Trayectorias B'!$C$5:$I$45,5,1)*(1+'B Supuestos'!$B$12)),0)</f>
        <v>-15588518.273611257</v>
      </c>
      <c r="D13" s="31">
        <f>-'B Supuestos'!$B$6*INDEX('Trayectorias B'!$C$5:$I$45,9,2)</f>
        <v>-16798706.158721104</v>
      </c>
      <c r="E13" s="31">
        <f>D13+IF(ISNUMBER(MATCH(8,'B Supuestos'!$D$20:$D$23,0)),INDEX('B Supuestos'!$F$20:$F$23,MATCH(8,'B Supuestos'!$D$20:$D$23,0))*(INDEX('Trayectorias B'!$C$5:$I$45,9,2)-INDEX('Trayectorias B'!$C$5:$I$45,5,2)*(1+'B Supuestos'!$B$12)),0)</f>
        <v>-16798706.158721104</v>
      </c>
      <c r="F13" s="31">
        <f>-'B Supuestos'!$B$6*INDEX('Trayectorias B'!$C$5:$I$45,9,3)</f>
        <v>-16169041.884367043</v>
      </c>
      <c r="G13" s="31">
        <f>F13+IF(ISNUMBER(MATCH(8,'B Supuestos'!$D$20:$D$23,0)),INDEX('B Supuestos'!$F$20:$F$23,MATCH(8,'B Supuestos'!$D$20:$D$23,0))*(INDEX('Trayectorias B'!$C$5:$I$45,9,3)-INDEX('Trayectorias B'!$C$5:$I$45,5,3)*(1+'B Supuestos'!$B$12)),0)</f>
        <v>-16169041.884367043</v>
      </c>
      <c r="H13" s="31">
        <f>-'B Supuestos'!$B$6*INDEX('Trayectorias B'!$C$5:$I$45,9,4)</f>
        <v>-17330058.712125964</v>
      </c>
      <c r="I13" s="31">
        <f>H13+IF(ISNUMBER(MATCH(8,'B Supuestos'!$D$20:$D$23,0)),INDEX('B Supuestos'!$F$20:$F$23,MATCH(8,'B Supuestos'!$D$20:$D$23,0))*(INDEX('Trayectorias B'!$C$5:$I$45,9,4)-INDEX('Trayectorias B'!$C$5:$I$45,5,4)*(1+'B Supuestos'!$B$12)),0)</f>
        <v>-17330058.712125964</v>
      </c>
      <c r="J13" s="31">
        <f>-'B Supuestos'!$B$6*INDEX('Trayectorias B'!$C$5:$I$45,9,5)</f>
        <v>-15732802.99784407</v>
      </c>
      <c r="K13" s="31">
        <f>J13+IF(ISNUMBER(MATCH(8,'B Supuestos'!$D$20:$D$23,0)),INDEX('B Supuestos'!$F$20:$F$23,MATCH(8,'B Supuestos'!$D$20:$D$23,0))*(INDEX('Trayectorias B'!$C$5:$I$45,9,5)-INDEX('Trayectorias B'!$C$5:$I$45,5,5)*(1+'B Supuestos'!$B$12)),0)</f>
        <v>-15732802.99784407</v>
      </c>
      <c r="L13" s="31">
        <f>-'B Supuestos'!$B$6*INDEX('Trayectorias B'!$C$5:$I$45,9,6)</f>
        <v>-16972069.405972913</v>
      </c>
      <c r="M13" s="31">
        <f>L13+IF(ISNUMBER(MATCH(8,'B Supuestos'!$D$20:$D$23,0)),INDEX('B Supuestos'!$F$20:$F$23,MATCH(8,'B Supuestos'!$D$20:$D$23,0))*(INDEX('Trayectorias B'!$C$5:$I$45,9,6)-INDEX('Trayectorias B'!$C$5:$I$45,5,6)*(1+'B Supuestos'!$B$12)),0)</f>
        <v>-16972069.405972913</v>
      </c>
      <c r="N13" s="31">
        <f>-'B Supuestos'!$B$6*INDEX('Trayectorias B'!$C$5:$I$45,9,7)</f>
        <v>-17551036.322453193</v>
      </c>
      <c r="O13" s="31">
        <f>N13+IF(ISNUMBER(MATCH(8,'B Supuestos'!$D$20:$D$23,0)),INDEX('B Supuestos'!$F$20:$F$23,MATCH(8,'B Supuestos'!$D$20:$D$23,0))*(INDEX('Trayectorias B'!$C$5:$I$45,9,7)-INDEX('Trayectorias B'!$C$5:$I$45,5,7)*(1+'B Supuestos'!$B$12)),0)</f>
        <v>-17551036.322453193</v>
      </c>
    </row>
    <row r="14" spans="1:15" x14ac:dyDescent="0.3">
      <c r="A14" s="39">
        <v>9</v>
      </c>
      <c r="B14" s="31">
        <f>-'B Supuestos'!$B$6*INDEX('Trayectorias B'!$C$5:$I$45,10,1)</f>
        <v>-15292700.331704067</v>
      </c>
      <c r="C14" s="31">
        <f>B14+IF(ISNUMBER(MATCH(9,'B Supuestos'!$D$20:$D$23,0)),INDEX('B Supuestos'!$F$20:$F$23,MATCH(9,'B Supuestos'!$D$20:$D$23,0))*(INDEX('Trayectorias B'!$C$5:$I$45,10,1)-INDEX('Trayectorias B'!$C$5:$I$45,6,1)*(1+'B Supuestos'!$B$12)),0)</f>
        <v>-15292700.331704067</v>
      </c>
      <c r="D14" s="31">
        <f>-'B Supuestos'!$B$6*INDEX('Trayectorias B'!$C$5:$I$45,10,2)</f>
        <v>-16663808.946120691</v>
      </c>
      <c r="E14" s="31">
        <f>D14+IF(ISNUMBER(MATCH(9,'B Supuestos'!$D$20:$D$23,0)),INDEX('B Supuestos'!$F$20:$F$23,MATCH(9,'B Supuestos'!$D$20:$D$23,0))*(INDEX('Trayectorias B'!$C$5:$I$45,10,2)-INDEX('Trayectorias B'!$C$5:$I$45,6,2)*(1+'B Supuestos'!$B$12)),0)</f>
        <v>-16663808.946120691</v>
      </c>
      <c r="F14" s="31">
        <f>-'B Supuestos'!$B$6*INDEX('Trayectorias B'!$C$5:$I$45,10,3)</f>
        <v>-16254130.298144989</v>
      </c>
      <c r="G14" s="31">
        <f>F14+IF(ISNUMBER(MATCH(9,'B Supuestos'!$D$20:$D$23,0)),INDEX('B Supuestos'!$F$20:$F$23,MATCH(9,'B Supuestos'!$D$20:$D$23,0))*(INDEX('Trayectorias B'!$C$5:$I$45,10,3)-INDEX('Trayectorias B'!$C$5:$I$45,6,3)*(1+'B Supuestos'!$B$12)),0)</f>
        <v>-16254130.298144989</v>
      </c>
      <c r="H14" s="31">
        <f>-'B Supuestos'!$B$6*INDEX('Trayectorias B'!$C$5:$I$45,10,4)</f>
        <v>-17449894.304900493</v>
      </c>
      <c r="I14" s="31">
        <f>H14+IF(ISNUMBER(MATCH(9,'B Supuestos'!$D$20:$D$23,0)),INDEX('B Supuestos'!$F$20:$F$23,MATCH(9,'B Supuestos'!$D$20:$D$23,0))*(INDEX('Trayectorias B'!$C$5:$I$45,10,4)-INDEX('Trayectorias B'!$C$5:$I$45,6,4)*(1+'B Supuestos'!$B$12)),0)</f>
        <v>-17449894.304900493</v>
      </c>
      <c r="J14" s="31">
        <f>-'B Supuestos'!$B$6*INDEX('Trayectorias B'!$C$5:$I$45,10,5)</f>
        <v>-16385598.662723713</v>
      </c>
      <c r="K14" s="31">
        <f>J14+IF(ISNUMBER(MATCH(9,'B Supuestos'!$D$20:$D$23,0)),INDEX('B Supuestos'!$F$20:$F$23,MATCH(9,'B Supuestos'!$D$20:$D$23,0))*(INDEX('Trayectorias B'!$C$5:$I$45,10,5)-INDEX('Trayectorias B'!$C$5:$I$45,6,5)*(1+'B Supuestos'!$B$12)),0)</f>
        <v>-16385598.662723713</v>
      </c>
      <c r="L14" s="31">
        <f>-'B Supuestos'!$B$6*INDEX('Trayectorias B'!$C$5:$I$45,10,6)</f>
        <v>-16513391.100577371</v>
      </c>
      <c r="M14" s="31">
        <f>L14+IF(ISNUMBER(MATCH(9,'B Supuestos'!$D$20:$D$23,0)),INDEX('B Supuestos'!$F$20:$F$23,MATCH(9,'B Supuestos'!$D$20:$D$23,0))*(INDEX('Trayectorias B'!$C$5:$I$45,10,6)-INDEX('Trayectorias B'!$C$5:$I$45,6,6)*(1+'B Supuestos'!$B$12)),0)</f>
        <v>-16513391.100577371</v>
      </c>
      <c r="N14" s="31">
        <f>-'B Supuestos'!$B$6*INDEX('Trayectorias B'!$C$5:$I$45,10,7)</f>
        <v>-17634495.218492199</v>
      </c>
      <c r="O14" s="31">
        <f>N14+IF(ISNUMBER(MATCH(9,'B Supuestos'!$D$20:$D$23,0)),INDEX('B Supuestos'!$F$20:$F$23,MATCH(9,'B Supuestos'!$D$20:$D$23,0))*(INDEX('Trayectorias B'!$C$5:$I$45,10,7)-INDEX('Trayectorias B'!$C$5:$I$45,6,7)*(1+'B Supuestos'!$B$12)),0)</f>
        <v>-17634495.218492199</v>
      </c>
    </row>
    <row r="15" spans="1:15" x14ac:dyDescent="0.3">
      <c r="A15" s="39">
        <v>10</v>
      </c>
      <c r="B15" s="31">
        <f>-'B Supuestos'!$B$6*INDEX('Trayectorias B'!$C$5:$I$45,11,1)</f>
        <v>-14946164.401902109</v>
      </c>
      <c r="C15" s="31">
        <f>B15+IF(ISNUMBER(MATCH(10,'B Supuestos'!$D$20:$D$23,0)),INDEX('B Supuestos'!$F$20:$F$23,MATCH(10,'B Supuestos'!$D$20:$D$23,0))*(INDEX('Trayectorias B'!$C$5:$I$45,11,1)-INDEX('Trayectorias B'!$C$5:$I$45,7,1)*(1+'B Supuestos'!$B$12)),0)</f>
        <v>-14946164.401902109</v>
      </c>
      <c r="D15" s="31">
        <f>-'B Supuestos'!$B$6*INDEX('Trayectorias B'!$C$5:$I$45,11,2)</f>
        <v>-17697706.15448929</v>
      </c>
      <c r="E15" s="31">
        <f>D15+IF(ISNUMBER(MATCH(10,'B Supuestos'!$D$20:$D$23,0)),INDEX('B Supuestos'!$F$20:$F$23,MATCH(10,'B Supuestos'!$D$20:$D$23,0))*(INDEX('Trayectorias B'!$C$5:$I$45,11,2)-INDEX('Trayectorias B'!$C$5:$I$45,7,2)*(1+'B Supuestos'!$B$12)),0)</f>
        <v>-17697706.15448929</v>
      </c>
      <c r="F15" s="31">
        <f>-'B Supuestos'!$B$6*INDEX('Trayectorias B'!$C$5:$I$45,11,3)</f>
        <v>-19180329.211040869</v>
      </c>
      <c r="G15" s="31">
        <f>F15+IF(ISNUMBER(MATCH(10,'B Supuestos'!$D$20:$D$23,0)),INDEX('B Supuestos'!$F$20:$F$23,MATCH(10,'B Supuestos'!$D$20:$D$23,0))*(INDEX('Trayectorias B'!$C$5:$I$45,11,3)-INDEX('Trayectorias B'!$C$5:$I$45,7,3)*(1+'B Supuestos'!$B$12)),0)</f>
        <v>-19180329.211040869</v>
      </c>
      <c r="H15" s="31">
        <f>-'B Supuestos'!$B$6*INDEX('Trayectorias B'!$C$5:$I$45,11,4)</f>
        <v>-17604439.412688989</v>
      </c>
      <c r="I15" s="31">
        <f>H15+IF(ISNUMBER(MATCH(10,'B Supuestos'!$D$20:$D$23,0)),INDEX('B Supuestos'!$F$20:$F$23,MATCH(10,'B Supuestos'!$D$20:$D$23,0))*(INDEX('Trayectorias B'!$C$5:$I$45,11,4)-INDEX('Trayectorias B'!$C$5:$I$45,7,4)*(1+'B Supuestos'!$B$12)),0)</f>
        <v>-17604439.412688989</v>
      </c>
      <c r="J15" s="31">
        <f>-'B Supuestos'!$B$6*INDEX('Trayectorias B'!$C$5:$I$45,11,5)</f>
        <v>-15827892.25572174</v>
      </c>
      <c r="K15" s="31">
        <f>J15+IF(ISNUMBER(MATCH(10,'B Supuestos'!$D$20:$D$23,0)),INDEX('B Supuestos'!$F$20:$F$23,MATCH(10,'B Supuestos'!$D$20:$D$23,0))*(INDEX('Trayectorias B'!$C$5:$I$45,11,5)-INDEX('Trayectorias B'!$C$5:$I$45,7,5)*(1+'B Supuestos'!$B$12)),0)</f>
        <v>-15827892.25572174</v>
      </c>
      <c r="L15" s="31">
        <f>-'B Supuestos'!$B$6*INDEX('Trayectorias B'!$C$5:$I$45,11,6)</f>
        <v>-17187046.923068948</v>
      </c>
      <c r="M15" s="31">
        <f>L15+IF(ISNUMBER(MATCH(10,'B Supuestos'!$D$20:$D$23,0)),INDEX('B Supuestos'!$F$20:$F$23,MATCH(10,'B Supuestos'!$D$20:$D$23,0))*(INDEX('Trayectorias B'!$C$5:$I$45,11,6)-INDEX('Trayectorias B'!$C$5:$I$45,7,6)*(1+'B Supuestos'!$B$12)),0)</f>
        <v>-17187046.923068948</v>
      </c>
      <c r="N15" s="31">
        <f>-'B Supuestos'!$B$6*INDEX('Trayectorias B'!$C$5:$I$45,11,7)</f>
        <v>-17718350.979263313</v>
      </c>
      <c r="O15" s="31">
        <f>N15+IF(ISNUMBER(MATCH(10,'B Supuestos'!$D$20:$D$23,0)),INDEX('B Supuestos'!$F$20:$F$23,MATCH(10,'B Supuestos'!$D$20:$D$23,0))*(INDEX('Trayectorias B'!$C$5:$I$45,11,7)-INDEX('Trayectorias B'!$C$5:$I$45,7,7)*(1+'B Supuestos'!$B$12)),0)</f>
        <v>-17718350.979263313</v>
      </c>
    </row>
    <row r="16" spans="1:15" x14ac:dyDescent="0.3">
      <c r="A16" s="39">
        <v>11</v>
      </c>
      <c r="B16" s="31">
        <f>-'B Supuestos'!$B$6*INDEX('Trayectorias B'!$C$5:$I$45,12,1)</f>
        <v>-13975244.864992669</v>
      </c>
      <c r="C16" s="31">
        <f>B16+IF(ISNUMBER(MATCH(11,'B Supuestos'!$D$20:$D$23,0)),INDEX('B Supuestos'!$F$20:$F$23,MATCH(11,'B Supuestos'!$D$20:$D$23,0))*(INDEX('Trayectorias B'!$C$5:$I$45,12,1)-INDEX('Trayectorias B'!$C$5:$I$45,8,1)*(1+'B Supuestos'!$B$12)),0)</f>
        <v>-13975244.864992669</v>
      </c>
      <c r="D16" s="31">
        <f>-'B Supuestos'!$B$6*INDEX('Trayectorias B'!$C$5:$I$45,12,2)</f>
        <v>-17267932.212982252</v>
      </c>
      <c r="E16" s="31">
        <f>D16+IF(ISNUMBER(MATCH(11,'B Supuestos'!$D$20:$D$23,0)),INDEX('B Supuestos'!$F$20:$F$23,MATCH(11,'B Supuestos'!$D$20:$D$23,0))*(INDEX('Trayectorias B'!$C$5:$I$45,12,2)-INDEX('Trayectorias B'!$C$5:$I$45,8,2)*(1+'B Supuestos'!$B$12)),0)</f>
        <v>-17267932.212982252</v>
      </c>
      <c r="F16" s="31">
        <f>-'B Supuestos'!$B$6*INDEX('Trayectorias B'!$C$5:$I$45,12,3)</f>
        <v>-17363126.122102704</v>
      </c>
      <c r="G16" s="31">
        <f>F16+IF(ISNUMBER(MATCH(11,'B Supuestos'!$D$20:$D$23,0)),INDEX('B Supuestos'!$F$20:$F$23,MATCH(11,'B Supuestos'!$D$20:$D$23,0))*(INDEX('Trayectorias B'!$C$5:$I$45,12,3)-INDEX('Trayectorias B'!$C$5:$I$45,8,3)*(1+'B Supuestos'!$B$12)),0)</f>
        <v>-17363126.122102704</v>
      </c>
      <c r="H16" s="31">
        <f>-'B Supuestos'!$B$6*INDEX('Trayectorias B'!$C$5:$I$45,12,4)</f>
        <v>-19205060.036319558</v>
      </c>
      <c r="I16" s="31">
        <f>H16+IF(ISNUMBER(MATCH(11,'B Supuestos'!$D$20:$D$23,0)),INDEX('B Supuestos'!$F$20:$F$23,MATCH(11,'B Supuestos'!$D$20:$D$23,0))*(INDEX('Trayectorias B'!$C$5:$I$45,12,4)-INDEX('Trayectorias B'!$C$5:$I$45,8,4)*(1+'B Supuestos'!$B$12)),0)</f>
        <v>-19205060.036319558</v>
      </c>
      <c r="J16" s="31">
        <f>-'B Supuestos'!$B$6*INDEX('Trayectorias B'!$C$5:$I$45,12,5)</f>
        <v>-16979750.99872759</v>
      </c>
      <c r="K16" s="31">
        <f>J16+IF(ISNUMBER(MATCH(11,'B Supuestos'!$D$20:$D$23,0)),INDEX('B Supuestos'!$F$20:$F$23,MATCH(11,'B Supuestos'!$D$20:$D$23,0))*(INDEX('Trayectorias B'!$C$5:$I$45,12,5)-INDEX('Trayectorias B'!$C$5:$I$45,8,5)*(1+'B Supuestos'!$B$12)),0)</f>
        <v>-16979750.99872759</v>
      </c>
      <c r="L16" s="31">
        <f>-'B Supuestos'!$B$6*INDEX('Trayectorias B'!$C$5:$I$45,12,6)</f>
        <v>-17129342.153856963</v>
      </c>
      <c r="M16" s="31">
        <f>L16+IF(ISNUMBER(MATCH(11,'B Supuestos'!$D$20:$D$23,0)),INDEX('B Supuestos'!$F$20:$F$23,MATCH(11,'B Supuestos'!$D$20:$D$23,0))*(INDEX('Trayectorias B'!$C$5:$I$45,12,6)-INDEX('Trayectorias B'!$C$5:$I$45,8,6)*(1+'B Supuestos'!$B$12)),0)</f>
        <v>-17129342.153856963</v>
      </c>
      <c r="N16" s="31">
        <f>-'B Supuestos'!$B$6*INDEX('Trayectorias B'!$C$5:$I$45,12,7)</f>
        <v>-17802605.491942395</v>
      </c>
      <c r="O16" s="31">
        <f>N16+IF(ISNUMBER(MATCH(11,'B Supuestos'!$D$20:$D$23,0)),INDEX('B Supuestos'!$F$20:$F$23,MATCH(11,'B Supuestos'!$D$20:$D$23,0))*(INDEX('Trayectorias B'!$C$5:$I$45,12,7)-INDEX('Trayectorias B'!$C$5:$I$45,8,7)*(1+'B Supuestos'!$B$12)),0)</f>
        <v>-17802605.491942395</v>
      </c>
    </row>
    <row r="17" spans="1:15" x14ac:dyDescent="0.3">
      <c r="A17" s="39">
        <v>12</v>
      </c>
      <c r="B17" s="31">
        <f>-'B Supuestos'!$B$6*INDEX('Trayectorias B'!$C$5:$I$45,13,1)</f>
        <v>-16266161.728441106</v>
      </c>
      <c r="C17" s="31">
        <f>B17+IF(ISNUMBER(MATCH(12,'B Supuestos'!$D$20:$D$23,0)),INDEX('B Supuestos'!$F$20:$F$23,MATCH(12,'B Supuestos'!$D$20:$D$23,0))*(INDEX('Trayectorias B'!$C$5:$I$45,13,1)-INDEX('Trayectorias B'!$C$5:$I$45,9,1)*(1+'B Supuestos'!$B$12)),0)</f>
        <v>-16266161.728441106</v>
      </c>
      <c r="D17" s="31">
        <f>-'B Supuestos'!$B$6*INDEX('Trayectorias B'!$C$5:$I$45,13,2)</f>
        <v>-18214030.019526713</v>
      </c>
      <c r="E17" s="31">
        <f>D17+IF(ISNUMBER(MATCH(12,'B Supuestos'!$D$20:$D$23,0)),INDEX('B Supuestos'!$F$20:$F$23,MATCH(12,'B Supuestos'!$D$20:$D$23,0))*(INDEX('Trayectorias B'!$C$5:$I$45,13,2)-INDEX('Trayectorias B'!$C$5:$I$45,9,2)*(1+'B Supuestos'!$B$12)),0)</f>
        <v>-18214030.019526713</v>
      </c>
      <c r="F17" s="31">
        <f>-'B Supuestos'!$B$6*INDEX('Trayectorias B'!$C$5:$I$45,13,3)</f>
        <v>-17470350.650859956</v>
      </c>
      <c r="G17" s="31">
        <f>F17+IF(ISNUMBER(MATCH(12,'B Supuestos'!$D$20:$D$23,0)),INDEX('B Supuestos'!$F$20:$F$23,MATCH(12,'B Supuestos'!$D$20:$D$23,0))*(INDEX('Trayectorias B'!$C$5:$I$45,13,3)-INDEX('Trayectorias B'!$C$5:$I$45,9,3)*(1+'B Supuestos'!$B$12)),0)</f>
        <v>-17470350.650859956</v>
      </c>
      <c r="H17" s="31">
        <f>-'B Supuestos'!$B$6*INDEX('Trayectorias B'!$C$5:$I$45,13,4)</f>
        <v>-17965664.585293654</v>
      </c>
      <c r="I17" s="31">
        <f>H17+IF(ISNUMBER(MATCH(12,'B Supuestos'!$D$20:$D$23,0)),INDEX('B Supuestos'!$F$20:$F$23,MATCH(12,'B Supuestos'!$D$20:$D$23,0))*(INDEX('Trayectorias B'!$C$5:$I$45,13,4)-INDEX('Trayectorias B'!$C$5:$I$45,9,4)*(1+'B Supuestos'!$B$12)),0)</f>
        <v>-17965664.585293654</v>
      </c>
      <c r="J17" s="31">
        <f>-'B Supuestos'!$B$6*INDEX('Trayectorias B'!$C$5:$I$45,13,5)</f>
        <v>-18030048.592349805</v>
      </c>
      <c r="K17" s="31">
        <f>J17+IF(ISNUMBER(MATCH(12,'B Supuestos'!$D$20:$D$23,0)),INDEX('B Supuestos'!$F$20:$F$23,MATCH(12,'B Supuestos'!$D$20:$D$23,0))*(INDEX('Trayectorias B'!$C$5:$I$45,13,5)-INDEX('Trayectorias B'!$C$5:$I$45,9,5)*(1+'B Supuestos'!$B$12)),0)</f>
        <v>-18030048.592349805</v>
      </c>
      <c r="L17" s="31">
        <f>-'B Supuestos'!$B$6*INDEX('Trayectorias B'!$C$5:$I$45,13,6)</f>
        <v>-16815176.632677678</v>
      </c>
      <c r="M17" s="31">
        <f>L17+IF(ISNUMBER(MATCH(12,'B Supuestos'!$D$20:$D$23,0)),INDEX('B Supuestos'!$F$20:$F$23,MATCH(12,'B Supuestos'!$D$20:$D$23,0))*(INDEX('Trayectorias B'!$C$5:$I$45,13,6)-INDEX('Trayectorias B'!$C$5:$I$45,9,6)*(1+'B Supuestos'!$B$12)),0)</f>
        <v>-16815176.632677678</v>
      </c>
      <c r="N17" s="31">
        <f>-'B Supuestos'!$B$6*INDEX('Trayectorias B'!$C$5:$I$45,13,7)</f>
        <v>-17887260.652679212</v>
      </c>
      <c r="O17" s="31">
        <f>N17+IF(ISNUMBER(MATCH(12,'B Supuestos'!$D$20:$D$23,0)),INDEX('B Supuestos'!$F$20:$F$23,MATCH(12,'B Supuestos'!$D$20:$D$23,0))*(INDEX('Trayectorias B'!$C$5:$I$45,13,7)-INDEX('Trayectorias B'!$C$5:$I$45,9,7)*(1+'B Supuestos'!$B$12)),0)</f>
        <v>-17887260.652679212</v>
      </c>
    </row>
    <row r="18" spans="1:15" x14ac:dyDescent="0.3">
      <c r="A18" s="39">
        <v>13</v>
      </c>
      <c r="B18" s="31">
        <f>-'B Supuestos'!$B$6*INDEX('Trayectorias B'!$C$5:$I$45,14,1)</f>
        <v>-18114030.806601215</v>
      </c>
      <c r="C18" s="31">
        <f>B18+IF(ISNUMBER(MATCH(13,'B Supuestos'!$D$20:$D$23,0)),INDEX('B Supuestos'!$F$20:$F$23,MATCH(13,'B Supuestos'!$D$20:$D$23,0))*(INDEX('Trayectorias B'!$C$5:$I$45,14,1)-INDEX('Trayectorias B'!$C$5:$I$45,10,1)*(1+'B Supuestos'!$B$12)),0)</f>
        <v>-18114030.806601215</v>
      </c>
      <c r="D18" s="31">
        <f>-'B Supuestos'!$B$6*INDEX('Trayectorias B'!$C$5:$I$45,14,2)</f>
        <v>-19815636.805145882</v>
      </c>
      <c r="E18" s="31">
        <f>D18+IF(ISNUMBER(MATCH(13,'B Supuestos'!$D$20:$D$23,0)),INDEX('B Supuestos'!$F$20:$F$23,MATCH(13,'B Supuestos'!$D$20:$D$23,0))*(INDEX('Trayectorias B'!$C$5:$I$45,14,2)-INDEX('Trayectorias B'!$C$5:$I$45,10,2)*(1+'B Supuestos'!$B$12)),0)</f>
        <v>-19815636.805145882</v>
      </c>
      <c r="F18" s="31">
        <f>-'B Supuestos'!$B$6*INDEX('Trayectorias B'!$C$5:$I$45,14,3)</f>
        <v>-16443406.415096289</v>
      </c>
      <c r="G18" s="31">
        <f>F18+IF(ISNUMBER(MATCH(13,'B Supuestos'!$D$20:$D$23,0)),INDEX('B Supuestos'!$F$20:$F$23,MATCH(13,'B Supuestos'!$D$20:$D$23,0))*(INDEX('Trayectorias B'!$C$5:$I$45,14,3)-INDEX('Trayectorias B'!$C$5:$I$45,10,3)*(1+'B Supuestos'!$B$12)),0)</f>
        <v>-16443406.415096289</v>
      </c>
      <c r="H18" s="31">
        <f>-'B Supuestos'!$B$6*INDEX('Trayectorias B'!$C$5:$I$45,14,4)</f>
        <v>-16542023.020939678</v>
      </c>
      <c r="I18" s="31">
        <f>H18+IF(ISNUMBER(MATCH(13,'B Supuestos'!$D$20:$D$23,0)),INDEX('B Supuestos'!$F$20:$F$23,MATCH(13,'B Supuestos'!$D$20:$D$23,0))*(INDEX('Trayectorias B'!$C$5:$I$45,14,4)-INDEX('Trayectorias B'!$C$5:$I$45,10,4)*(1+'B Supuestos'!$B$12)),0)</f>
        <v>-16542023.020939678</v>
      </c>
      <c r="J18" s="31">
        <f>-'B Supuestos'!$B$6*INDEX('Trayectorias B'!$C$5:$I$45,14,5)</f>
        <v>-18849118.557554625</v>
      </c>
      <c r="K18" s="31">
        <f>J18+IF(ISNUMBER(MATCH(13,'B Supuestos'!$D$20:$D$23,0)),INDEX('B Supuestos'!$F$20:$F$23,MATCH(13,'B Supuestos'!$D$20:$D$23,0))*(INDEX('Trayectorias B'!$C$5:$I$45,14,5)-INDEX('Trayectorias B'!$C$5:$I$45,10,5)*(1+'B Supuestos'!$B$12)),0)</f>
        <v>-18849118.557554625</v>
      </c>
      <c r="L18" s="31">
        <f>-'B Supuestos'!$B$6*INDEX('Trayectorias B'!$C$5:$I$45,14,6)</f>
        <v>-17707049.938570313</v>
      </c>
      <c r="M18" s="31">
        <f>L18+IF(ISNUMBER(MATCH(13,'B Supuestos'!$D$20:$D$23,0)),INDEX('B Supuestos'!$F$20:$F$23,MATCH(13,'B Supuestos'!$D$20:$D$23,0))*(INDEX('Trayectorias B'!$C$5:$I$45,14,6)-INDEX('Trayectorias B'!$C$5:$I$45,10,6)*(1+'B Supuestos'!$B$12)),0)</f>
        <v>-17707049.938570313</v>
      </c>
      <c r="N18" s="31">
        <f>-'B Supuestos'!$B$6*INDEX('Trayectorias B'!$C$5:$I$45,14,7)</f>
        <v>-17972318.36664027</v>
      </c>
      <c r="O18" s="31">
        <f>N18+IF(ISNUMBER(MATCH(13,'B Supuestos'!$D$20:$D$23,0)),INDEX('B Supuestos'!$F$20:$F$23,MATCH(13,'B Supuestos'!$D$20:$D$23,0))*(INDEX('Trayectorias B'!$C$5:$I$45,14,7)-INDEX('Trayectorias B'!$C$5:$I$45,10,7)*(1+'B Supuestos'!$B$12)),0)</f>
        <v>-17972318.36664027</v>
      </c>
    </row>
    <row r="19" spans="1:15" x14ac:dyDescent="0.3">
      <c r="A19" s="39">
        <v>14</v>
      </c>
      <c r="B19" s="31">
        <f>-'B Supuestos'!$B$6*INDEX('Trayectorias B'!$C$5:$I$45,15,1)</f>
        <v>-19457966.519847661</v>
      </c>
      <c r="C19" s="31">
        <f>B19+IF(ISNUMBER(MATCH(14,'B Supuestos'!$D$20:$D$23,0)),INDEX('B Supuestos'!$F$20:$F$23,MATCH(14,'B Supuestos'!$D$20:$D$23,0))*(INDEX('Trayectorias B'!$C$5:$I$45,15,1)-INDEX('Trayectorias B'!$C$5:$I$45,11,1)*(1+'B Supuestos'!$B$12)),0)</f>
        <v>-19457966.519847661</v>
      </c>
      <c r="D19" s="31">
        <f>-'B Supuestos'!$B$6*INDEX('Trayectorias B'!$C$5:$I$45,15,2)</f>
        <v>-20397205.216811243</v>
      </c>
      <c r="E19" s="31">
        <f>D19+IF(ISNUMBER(MATCH(14,'B Supuestos'!$D$20:$D$23,0)),INDEX('B Supuestos'!$F$20:$F$23,MATCH(14,'B Supuestos'!$D$20:$D$23,0))*(INDEX('Trayectorias B'!$C$5:$I$45,15,2)-INDEX('Trayectorias B'!$C$5:$I$45,11,2)*(1+'B Supuestos'!$B$12)),0)</f>
        <v>-20397205.216811243</v>
      </c>
      <c r="F19" s="31">
        <f>-'B Supuestos'!$B$6*INDEX('Trayectorias B'!$C$5:$I$45,15,3)</f>
        <v>-16982787.189875554</v>
      </c>
      <c r="G19" s="31">
        <f>F19+IF(ISNUMBER(MATCH(14,'B Supuestos'!$D$20:$D$23,0)),INDEX('B Supuestos'!$F$20:$F$23,MATCH(14,'B Supuestos'!$D$20:$D$23,0))*(INDEX('Trayectorias B'!$C$5:$I$45,15,3)-INDEX('Trayectorias B'!$C$5:$I$45,11,3)*(1+'B Supuestos'!$B$12)),0)</f>
        <v>-16982787.189875554</v>
      </c>
      <c r="H19" s="31">
        <f>-'B Supuestos'!$B$6*INDEX('Trayectorias B'!$C$5:$I$45,15,4)</f>
        <v>-16886709.825984631</v>
      </c>
      <c r="I19" s="31">
        <f>H19+IF(ISNUMBER(MATCH(14,'B Supuestos'!$D$20:$D$23,0)),INDEX('B Supuestos'!$F$20:$F$23,MATCH(14,'B Supuestos'!$D$20:$D$23,0))*(INDEX('Trayectorias B'!$C$5:$I$45,15,4)-INDEX('Trayectorias B'!$C$5:$I$45,11,4)*(1+'B Supuestos'!$B$12)),0)</f>
        <v>-16886709.825984631</v>
      </c>
      <c r="J19" s="31">
        <f>-'B Supuestos'!$B$6*INDEX('Trayectorias B'!$C$5:$I$45,15,5)</f>
        <v>-17704857.013176125</v>
      </c>
      <c r="K19" s="31">
        <f>J19+IF(ISNUMBER(MATCH(14,'B Supuestos'!$D$20:$D$23,0)),INDEX('B Supuestos'!$F$20:$F$23,MATCH(14,'B Supuestos'!$D$20:$D$23,0))*(INDEX('Trayectorias B'!$C$5:$I$45,15,5)-INDEX('Trayectorias B'!$C$5:$I$45,11,5)*(1+'B Supuestos'!$B$12)),0)</f>
        <v>-17704857.013176125</v>
      </c>
      <c r="L19" s="31">
        <f>-'B Supuestos'!$B$6*INDEX('Trayectorias B'!$C$5:$I$45,15,6)</f>
        <v>-17685333.188661695</v>
      </c>
      <c r="M19" s="31">
        <f>L19+IF(ISNUMBER(MATCH(14,'B Supuestos'!$D$20:$D$23,0)),INDEX('B Supuestos'!$F$20:$F$23,MATCH(14,'B Supuestos'!$D$20:$D$23,0))*(INDEX('Trayectorias B'!$C$5:$I$45,15,6)-INDEX('Trayectorias B'!$C$5:$I$45,11,6)*(1+'B Supuestos'!$B$12)),0)</f>
        <v>-17685333.188661695</v>
      </c>
      <c r="N19" s="31">
        <f>-'B Supuestos'!$B$6*INDEX('Trayectorias B'!$C$5:$I$45,15,7)</f>
        <v>-18057780.548051298</v>
      </c>
      <c r="O19" s="31">
        <f>N19+IF(ISNUMBER(MATCH(14,'B Supuestos'!$D$20:$D$23,0)),INDEX('B Supuestos'!$F$20:$F$23,MATCH(14,'B Supuestos'!$D$20:$D$23,0))*(INDEX('Trayectorias B'!$C$5:$I$45,15,7)-INDEX('Trayectorias B'!$C$5:$I$45,11,7)*(1+'B Supuestos'!$B$12)),0)</f>
        <v>-18057780.548051298</v>
      </c>
    </row>
    <row r="20" spans="1:15" x14ac:dyDescent="0.3">
      <c r="A20" s="39">
        <v>15</v>
      </c>
      <c r="B20" s="31">
        <f>-'B Supuestos'!$B$6*INDEX('Trayectorias B'!$C$5:$I$45,16,1)</f>
        <v>-19172885.340598103</v>
      </c>
      <c r="C20" s="31">
        <f>B20+IF(ISNUMBER(MATCH(15,'B Supuestos'!$D$20:$D$23,0)),INDEX('B Supuestos'!$F$20:$F$23,MATCH(15,'B Supuestos'!$D$20:$D$23,0))*(INDEX('Trayectorias B'!$C$5:$I$45,16,1)-INDEX('Trayectorias B'!$C$5:$I$45,12,1)*(1+'B Supuestos'!$B$12)),0)</f>
        <v>-19172885.340598103</v>
      </c>
      <c r="D20" s="31">
        <f>-'B Supuestos'!$B$6*INDEX('Trayectorias B'!$C$5:$I$45,16,2)</f>
        <v>-20008455.711817123</v>
      </c>
      <c r="E20" s="31">
        <f>D20+IF(ISNUMBER(MATCH(15,'B Supuestos'!$D$20:$D$23,0)),INDEX('B Supuestos'!$F$20:$F$23,MATCH(15,'B Supuestos'!$D$20:$D$23,0))*(INDEX('Trayectorias B'!$C$5:$I$45,16,2)-INDEX('Trayectorias B'!$C$5:$I$45,12,2)*(1+'B Supuestos'!$B$12)),0)</f>
        <v>-20008455.711817123</v>
      </c>
      <c r="F20" s="31">
        <f>-'B Supuestos'!$B$6*INDEX('Trayectorias B'!$C$5:$I$45,16,3)</f>
        <v>-17352835.871884812</v>
      </c>
      <c r="G20" s="31">
        <f>F20+IF(ISNUMBER(MATCH(15,'B Supuestos'!$D$20:$D$23,0)),INDEX('B Supuestos'!$F$20:$F$23,MATCH(15,'B Supuestos'!$D$20:$D$23,0))*(INDEX('Trayectorias B'!$C$5:$I$45,16,3)-INDEX('Trayectorias B'!$C$5:$I$45,12,3)*(1+'B Supuestos'!$B$12)),0)</f>
        <v>-17352835.871884812</v>
      </c>
      <c r="H20" s="31">
        <f>-'B Supuestos'!$B$6*INDEX('Trayectorias B'!$C$5:$I$45,16,4)</f>
        <v>-18624854.318094436</v>
      </c>
      <c r="I20" s="31">
        <f>H20+IF(ISNUMBER(MATCH(15,'B Supuestos'!$D$20:$D$23,0)),INDEX('B Supuestos'!$F$20:$F$23,MATCH(15,'B Supuestos'!$D$20:$D$23,0))*(INDEX('Trayectorias B'!$C$5:$I$45,16,4)-INDEX('Trayectorias B'!$C$5:$I$45,12,4)*(1+'B Supuestos'!$B$12)),0)</f>
        <v>-18624854.318094436</v>
      </c>
      <c r="J20" s="31">
        <f>-'B Supuestos'!$B$6*INDEX('Trayectorias B'!$C$5:$I$45,16,5)</f>
        <v>-19022605.549917545</v>
      </c>
      <c r="K20" s="31">
        <f>J20+IF(ISNUMBER(MATCH(15,'B Supuestos'!$D$20:$D$23,0)),INDEX('B Supuestos'!$F$20:$F$23,MATCH(15,'B Supuestos'!$D$20:$D$23,0))*(INDEX('Trayectorias B'!$C$5:$I$45,16,5)-INDEX('Trayectorias B'!$C$5:$I$45,12,5)*(1+'B Supuestos'!$B$12)),0)</f>
        <v>-19022605.549917545</v>
      </c>
      <c r="L20" s="31">
        <f>-'B Supuestos'!$B$6*INDEX('Trayectorias B'!$C$5:$I$45,16,6)</f>
        <v>-18773050.912350714</v>
      </c>
      <c r="M20" s="31">
        <f>L20+IF(ISNUMBER(MATCH(15,'B Supuestos'!$D$20:$D$23,0)),INDEX('B Supuestos'!$F$20:$F$23,MATCH(15,'B Supuestos'!$D$20:$D$23,0))*(INDEX('Trayectorias B'!$C$5:$I$45,16,6)-INDEX('Trayectorias B'!$C$5:$I$45,12,6)*(1+'B Supuestos'!$B$12)),0)</f>
        <v>-18773050.912350714</v>
      </c>
      <c r="N20" s="31">
        <f>-'B Supuestos'!$B$6*INDEX('Trayectorias B'!$C$5:$I$45,16,7)</f>
        <v>-18143649.1202408</v>
      </c>
      <c r="O20" s="31">
        <f>N20+IF(ISNUMBER(MATCH(15,'B Supuestos'!$D$20:$D$23,0)),INDEX('B Supuestos'!$F$20:$F$23,MATCH(15,'B Supuestos'!$D$20:$D$23,0))*(INDEX('Trayectorias B'!$C$5:$I$45,16,7)-INDEX('Trayectorias B'!$C$5:$I$45,12,7)*(1+'B Supuestos'!$B$12)),0)</f>
        <v>-18143649.1202408</v>
      </c>
    </row>
    <row r="21" spans="1:15" x14ac:dyDescent="0.3">
      <c r="A21" s="39">
        <v>16</v>
      </c>
      <c r="B21" s="31">
        <f>-'B Supuestos'!$B$6*INDEX('Trayectorias B'!$C$5:$I$45,17,1)</f>
        <v>-20469857.233556692</v>
      </c>
      <c r="C21" s="31">
        <f>B21+IF(ISNUMBER(MATCH(16,'B Supuestos'!$D$20:$D$23,0)),INDEX('B Supuestos'!$F$20:$F$23,MATCH(16,'B Supuestos'!$D$20:$D$23,0))*(INDEX('Trayectorias B'!$C$5:$I$45,17,1)-INDEX('Trayectorias B'!$C$5:$I$45,13,1)*(1+'B Supuestos'!$B$12)),0)</f>
        <v>-20469857.233556692</v>
      </c>
      <c r="D21" s="31">
        <f>-'B Supuestos'!$B$6*INDEX('Trayectorias B'!$C$5:$I$45,17,2)</f>
        <v>-18532429.647380691</v>
      </c>
      <c r="E21" s="31">
        <f>D21+IF(ISNUMBER(MATCH(16,'B Supuestos'!$D$20:$D$23,0)),INDEX('B Supuestos'!$F$20:$F$23,MATCH(16,'B Supuestos'!$D$20:$D$23,0))*(INDEX('Trayectorias B'!$C$5:$I$45,17,2)-INDEX('Trayectorias B'!$C$5:$I$45,13,2)*(1+'B Supuestos'!$B$12)),0)</f>
        <v>-18532429.647380691</v>
      </c>
      <c r="F21" s="31">
        <f>-'B Supuestos'!$B$6*INDEX('Trayectorias B'!$C$5:$I$45,17,3)</f>
        <v>-16877169.522116147</v>
      </c>
      <c r="G21" s="31">
        <f>F21+IF(ISNUMBER(MATCH(16,'B Supuestos'!$D$20:$D$23,0)),INDEX('B Supuestos'!$F$20:$F$23,MATCH(16,'B Supuestos'!$D$20:$D$23,0))*(INDEX('Trayectorias B'!$C$5:$I$45,17,3)-INDEX('Trayectorias B'!$C$5:$I$45,13,3)*(1+'B Supuestos'!$B$12)),0)</f>
        <v>-16877169.522116147</v>
      </c>
      <c r="H21" s="31">
        <f>-'B Supuestos'!$B$6*INDEX('Trayectorias B'!$C$5:$I$45,17,4)</f>
        <v>-17660893.971054699</v>
      </c>
      <c r="I21" s="31">
        <f>H21+IF(ISNUMBER(MATCH(16,'B Supuestos'!$D$20:$D$23,0)),INDEX('B Supuestos'!$F$20:$F$23,MATCH(16,'B Supuestos'!$D$20:$D$23,0))*(INDEX('Trayectorias B'!$C$5:$I$45,17,4)-INDEX('Trayectorias B'!$C$5:$I$45,13,4)*(1+'B Supuestos'!$B$12)),0)</f>
        <v>-17660893.971054699</v>
      </c>
      <c r="J21" s="31">
        <f>-'B Supuestos'!$B$6*INDEX('Trayectorias B'!$C$5:$I$45,17,5)</f>
        <v>-19679622.551268522</v>
      </c>
      <c r="K21" s="31">
        <f>J21+IF(ISNUMBER(MATCH(16,'B Supuestos'!$D$20:$D$23,0)),INDEX('B Supuestos'!$F$20:$F$23,MATCH(16,'B Supuestos'!$D$20:$D$23,0))*(INDEX('Trayectorias B'!$C$5:$I$45,17,5)-INDEX('Trayectorias B'!$C$5:$I$45,13,5)*(1+'B Supuestos'!$B$12)),0)</f>
        <v>-19679622.551268522</v>
      </c>
      <c r="L21" s="31">
        <f>-'B Supuestos'!$B$6*INDEX('Trayectorias B'!$C$5:$I$45,17,6)</f>
        <v>-18278438.617135316</v>
      </c>
      <c r="M21" s="31">
        <f>L21+IF(ISNUMBER(MATCH(16,'B Supuestos'!$D$20:$D$23,0)),INDEX('B Supuestos'!$F$20:$F$23,MATCH(16,'B Supuestos'!$D$20:$D$23,0))*(INDEX('Trayectorias B'!$C$5:$I$45,17,6)-INDEX('Trayectorias B'!$C$5:$I$45,13,6)*(1+'B Supuestos'!$B$12)),0)</f>
        <v>-18278438.617135316</v>
      </c>
      <c r="N21" s="31">
        <f>-'B Supuestos'!$B$6*INDEX('Trayectorias B'!$C$5:$I$45,17,7)</f>
        <v>-18229926.015683014</v>
      </c>
      <c r="O21" s="31">
        <f>N21+IF(ISNUMBER(MATCH(16,'B Supuestos'!$D$20:$D$23,0)),INDEX('B Supuestos'!$F$20:$F$23,MATCH(16,'B Supuestos'!$D$20:$D$23,0))*(INDEX('Trayectorias B'!$C$5:$I$45,17,7)-INDEX('Trayectorias B'!$C$5:$I$45,13,7)*(1+'B Supuestos'!$B$12)),0)</f>
        <v>-18229926.015683014</v>
      </c>
    </row>
    <row r="22" spans="1:15" x14ac:dyDescent="0.3">
      <c r="A22" s="39">
        <v>17</v>
      </c>
      <c r="B22" s="31">
        <f>-'B Supuestos'!$B$6*INDEX('Trayectorias B'!$C$5:$I$45,18,1)</f>
        <v>-18943422.12195573</v>
      </c>
      <c r="C22" s="31">
        <f>B22+IF(ISNUMBER(MATCH(17,'B Supuestos'!$D$20:$D$23,0)),INDEX('B Supuestos'!$F$20:$F$23,MATCH(17,'B Supuestos'!$D$20:$D$23,0))*(INDEX('Trayectorias B'!$C$5:$I$45,18,1)-INDEX('Trayectorias B'!$C$5:$I$45,14,1)*(1+'B Supuestos'!$B$12)),0)</f>
        <v>-18943422.12195573</v>
      </c>
      <c r="D22" s="31">
        <f>-'B Supuestos'!$B$6*INDEX('Trayectorias B'!$C$5:$I$45,18,2)</f>
        <v>-18707289.851544142</v>
      </c>
      <c r="E22" s="31">
        <f>D22+IF(ISNUMBER(MATCH(17,'B Supuestos'!$D$20:$D$23,0)),INDEX('B Supuestos'!$F$20:$F$23,MATCH(17,'B Supuestos'!$D$20:$D$23,0))*(INDEX('Trayectorias B'!$C$5:$I$45,18,2)-INDEX('Trayectorias B'!$C$5:$I$45,14,2)*(1+'B Supuestos'!$B$12)),0)</f>
        <v>-18707289.851544142</v>
      </c>
      <c r="F22" s="31">
        <f>-'B Supuestos'!$B$6*INDEX('Trayectorias B'!$C$5:$I$45,18,3)</f>
        <v>-15775152.217835233</v>
      </c>
      <c r="G22" s="31">
        <f>F22+IF(ISNUMBER(MATCH(17,'B Supuestos'!$D$20:$D$23,0)),INDEX('B Supuestos'!$F$20:$F$23,MATCH(17,'B Supuestos'!$D$20:$D$23,0))*(INDEX('Trayectorias B'!$C$5:$I$45,18,3)-INDEX('Trayectorias B'!$C$5:$I$45,14,3)*(1+'B Supuestos'!$B$12)),0)</f>
        <v>-15775152.217835233</v>
      </c>
      <c r="H22" s="31">
        <f>-'B Supuestos'!$B$6*INDEX('Trayectorias B'!$C$5:$I$45,18,4)</f>
        <v>-18124735.309285965</v>
      </c>
      <c r="I22" s="31">
        <f>H22+IF(ISNUMBER(MATCH(17,'B Supuestos'!$D$20:$D$23,0)),INDEX('B Supuestos'!$F$20:$F$23,MATCH(17,'B Supuestos'!$D$20:$D$23,0))*(INDEX('Trayectorias B'!$C$5:$I$45,18,4)-INDEX('Trayectorias B'!$C$5:$I$45,14,4)*(1+'B Supuestos'!$B$12)),0)</f>
        <v>-18124735.309285965</v>
      </c>
      <c r="J22" s="31">
        <f>-'B Supuestos'!$B$6*INDEX('Trayectorias B'!$C$5:$I$45,18,5)</f>
        <v>-18521205.916162495</v>
      </c>
      <c r="K22" s="31">
        <f>J22+IF(ISNUMBER(MATCH(17,'B Supuestos'!$D$20:$D$23,0)),INDEX('B Supuestos'!$F$20:$F$23,MATCH(17,'B Supuestos'!$D$20:$D$23,0))*(INDEX('Trayectorias B'!$C$5:$I$45,18,5)-INDEX('Trayectorias B'!$C$5:$I$45,14,5)*(1+'B Supuestos'!$B$12)),0)</f>
        <v>-18521205.916162495</v>
      </c>
      <c r="L22" s="31">
        <f>-'B Supuestos'!$B$6*INDEX('Trayectorias B'!$C$5:$I$45,18,6)</f>
        <v>-17934201.344240386</v>
      </c>
      <c r="M22" s="31">
        <f>L22+IF(ISNUMBER(MATCH(17,'B Supuestos'!$D$20:$D$23,0)),INDEX('B Supuestos'!$F$20:$F$23,MATCH(17,'B Supuestos'!$D$20:$D$23,0))*(INDEX('Trayectorias B'!$C$5:$I$45,18,6)-INDEX('Trayectorias B'!$C$5:$I$45,14,6)*(1+'B Supuestos'!$B$12)),0)</f>
        <v>-17934201.344240386</v>
      </c>
      <c r="N22" s="31">
        <f>-'B Supuestos'!$B$6*INDEX('Trayectorias B'!$C$5:$I$45,18,7)</f>
        <v>-18316613.176041488</v>
      </c>
      <c r="O22" s="31">
        <f>N22+IF(ISNUMBER(MATCH(17,'B Supuestos'!$D$20:$D$23,0)),INDEX('B Supuestos'!$F$20:$F$23,MATCH(17,'B Supuestos'!$D$20:$D$23,0))*(INDEX('Trayectorias B'!$C$5:$I$45,18,7)-INDEX('Trayectorias B'!$C$5:$I$45,14,7)*(1+'B Supuestos'!$B$12)),0)</f>
        <v>-18316613.176041488</v>
      </c>
    </row>
    <row r="23" spans="1:15" x14ac:dyDescent="0.3">
      <c r="A23" s="39">
        <v>18</v>
      </c>
      <c r="B23" s="31">
        <f>-'B Supuestos'!$B$6*INDEX('Trayectorias B'!$C$5:$I$45,19,1)</f>
        <v>-19206244.300905984</v>
      </c>
      <c r="C23" s="31">
        <f>B23+IF(ISNUMBER(MATCH(18,'B Supuestos'!$D$20:$D$23,0)),INDEX('B Supuestos'!$F$20:$F$23,MATCH(18,'B Supuestos'!$D$20:$D$23,0))*(INDEX('Trayectorias B'!$C$5:$I$45,19,1)-INDEX('Trayectorias B'!$C$5:$I$45,15,1)*(1+'B Supuestos'!$B$12)),0)</f>
        <v>-19206244.300905984</v>
      </c>
      <c r="D23" s="31">
        <f>-'B Supuestos'!$B$6*INDEX('Trayectorias B'!$C$5:$I$45,19,2)</f>
        <v>-18665786.774217874</v>
      </c>
      <c r="E23" s="31">
        <f>D23+IF(ISNUMBER(MATCH(18,'B Supuestos'!$D$20:$D$23,0)),INDEX('B Supuestos'!$F$20:$F$23,MATCH(18,'B Supuestos'!$D$20:$D$23,0))*(INDEX('Trayectorias B'!$C$5:$I$45,19,2)-INDEX('Trayectorias B'!$C$5:$I$45,15,2)*(1+'B Supuestos'!$B$12)),0)</f>
        <v>-18665786.774217874</v>
      </c>
      <c r="F23" s="31">
        <f>-'B Supuestos'!$B$6*INDEX('Trayectorias B'!$C$5:$I$45,19,3)</f>
        <v>-16573615.764104359</v>
      </c>
      <c r="G23" s="31">
        <f>F23+IF(ISNUMBER(MATCH(18,'B Supuestos'!$D$20:$D$23,0)),INDEX('B Supuestos'!$F$20:$F$23,MATCH(18,'B Supuestos'!$D$20:$D$23,0))*(INDEX('Trayectorias B'!$C$5:$I$45,19,3)-INDEX('Trayectorias B'!$C$5:$I$45,15,3)*(1+'B Supuestos'!$B$12)),0)</f>
        <v>-16573615.764104359</v>
      </c>
      <c r="H23" s="31">
        <f>-'B Supuestos'!$B$6*INDEX('Trayectorias B'!$C$5:$I$45,19,4)</f>
        <v>-18237562.491672657</v>
      </c>
      <c r="I23" s="31">
        <f>H23+IF(ISNUMBER(MATCH(18,'B Supuestos'!$D$20:$D$23,0)),INDEX('B Supuestos'!$F$20:$F$23,MATCH(18,'B Supuestos'!$D$20:$D$23,0))*(INDEX('Trayectorias B'!$C$5:$I$45,19,4)-INDEX('Trayectorias B'!$C$5:$I$45,15,4)*(1+'B Supuestos'!$B$12)),0)</f>
        <v>-18237562.491672657</v>
      </c>
      <c r="J23" s="31">
        <f>-'B Supuestos'!$B$6*INDEX('Trayectorias B'!$C$5:$I$45,19,5)</f>
        <v>-17697346.699130766</v>
      </c>
      <c r="K23" s="31">
        <f>J23+IF(ISNUMBER(MATCH(18,'B Supuestos'!$D$20:$D$23,0)),INDEX('B Supuestos'!$F$20:$F$23,MATCH(18,'B Supuestos'!$D$20:$D$23,0))*(INDEX('Trayectorias B'!$C$5:$I$45,19,5)-INDEX('Trayectorias B'!$C$5:$I$45,15,5)*(1+'B Supuestos'!$B$12)),0)</f>
        <v>-17697346.699130766</v>
      </c>
      <c r="L23" s="31">
        <f>-'B Supuestos'!$B$6*INDEX('Trayectorias B'!$C$5:$I$45,19,6)</f>
        <v>-17812485.050090779</v>
      </c>
      <c r="M23" s="31">
        <f>L23+IF(ISNUMBER(MATCH(18,'B Supuestos'!$D$20:$D$23,0)),INDEX('B Supuestos'!$F$20:$F$23,MATCH(18,'B Supuestos'!$D$20:$D$23,0))*(INDEX('Trayectorias B'!$C$5:$I$45,19,6)-INDEX('Trayectorias B'!$C$5:$I$45,15,6)*(1+'B Supuestos'!$B$12)),0)</f>
        <v>-17812485.050090779</v>
      </c>
      <c r="N23" s="31">
        <f>-'B Supuestos'!$B$6*INDEX('Trayectorias B'!$C$5:$I$45,19,7)</f>
        <v>-18403712.552212819</v>
      </c>
      <c r="O23" s="31">
        <f>N23+IF(ISNUMBER(MATCH(18,'B Supuestos'!$D$20:$D$23,0)),INDEX('B Supuestos'!$F$20:$F$23,MATCH(18,'B Supuestos'!$D$20:$D$23,0))*(INDEX('Trayectorias B'!$C$5:$I$45,19,7)-INDEX('Trayectorias B'!$C$5:$I$45,15,7)*(1+'B Supuestos'!$B$12)),0)</f>
        <v>-18403712.552212819</v>
      </c>
    </row>
    <row r="24" spans="1:15" x14ac:dyDescent="0.3">
      <c r="A24" s="39">
        <v>19</v>
      </c>
      <c r="B24" s="31">
        <f>-'B Supuestos'!$B$6*INDEX('Trayectorias B'!$C$5:$I$45,20,1)</f>
        <v>-19649534.266628895</v>
      </c>
      <c r="C24" s="31">
        <f>B24+IF(ISNUMBER(MATCH(19,'B Supuestos'!$D$20:$D$23,0)),INDEX('B Supuestos'!$F$20:$F$23,MATCH(19,'B Supuestos'!$D$20:$D$23,0))*(INDEX('Trayectorias B'!$C$5:$I$45,20,1)-INDEX('Trayectorias B'!$C$5:$I$45,16,1)*(1+'B Supuestos'!$B$12)),0)</f>
        <v>-19649534.266628895</v>
      </c>
      <c r="D24" s="31">
        <f>-'B Supuestos'!$B$6*INDEX('Trayectorias B'!$C$5:$I$45,20,2)</f>
        <v>-18815616.219199412</v>
      </c>
      <c r="E24" s="31">
        <f>D24+IF(ISNUMBER(MATCH(19,'B Supuestos'!$D$20:$D$23,0)),INDEX('B Supuestos'!$F$20:$F$23,MATCH(19,'B Supuestos'!$D$20:$D$23,0))*(INDEX('Trayectorias B'!$C$5:$I$45,20,2)-INDEX('Trayectorias B'!$C$5:$I$45,16,2)*(1+'B Supuestos'!$B$12)),0)</f>
        <v>-18815616.219199412</v>
      </c>
      <c r="F24" s="31">
        <f>-'B Supuestos'!$B$6*INDEX('Trayectorias B'!$C$5:$I$45,20,3)</f>
        <v>-16596171.210780982</v>
      </c>
      <c r="G24" s="31">
        <f>F24+IF(ISNUMBER(MATCH(19,'B Supuestos'!$D$20:$D$23,0)),INDEX('B Supuestos'!$F$20:$F$23,MATCH(19,'B Supuestos'!$D$20:$D$23,0))*(INDEX('Trayectorias B'!$C$5:$I$45,20,3)-INDEX('Trayectorias B'!$C$5:$I$45,16,3)*(1+'B Supuestos'!$B$12)),0)</f>
        <v>-16596171.210780982</v>
      </c>
      <c r="H24" s="31">
        <f>-'B Supuestos'!$B$6*INDEX('Trayectorias B'!$C$5:$I$45,20,4)</f>
        <v>-19087733.122859582</v>
      </c>
      <c r="I24" s="31">
        <f>H24+IF(ISNUMBER(MATCH(19,'B Supuestos'!$D$20:$D$23,0)),INDEX('B Supuestos'!$F$20:$F$23,MATCH(19,'B Supuestos'!$D$20:$D$23,0))*(INDEX('Trayectorias B'!$C$5:$I$45,20,4)-INDEX('Trayectorias B'!$C$5:$I$45,16,4)*(1+'B Supuestos'!$B$12)),0)</f>
        <v>-19087733.122859582</v>
      </c>
      <c r="J24" s="31">
        <f>-'B Supuestos'!$B$6*INDEX('Trayectorias B'!$C$5:$I$45,20,5)</f>
        <v>-18834911.951490421</v>
      </c>
      <c r="K24" s="31">
        <f>J24+IF(ISNUMBER(MATCH(19,'B Supuestos'!$D$20:$D$23,0)),INDEX('B Supuestos'!$F$20:$F$23,MATCH(19,'B Supuestos'!$D$20:$D$23,0))*(INDEX('Trayectorias B'!$C$5:$I$45,20,5)-INDEX('Trayectorias B'!$C$5:$I$45,16,5)*(1+'B Supuestos'!$B$12)),0)</f>
        <v>-18834911.951490421</v>
      </c>
      <c r="L24" s="31">
        <f>-'B Supuestos'!$B$6*INDEX('Trayectorias B'!$C$5:$I$45,20,6)</f>
        <v>-17266750.501225464</v>
      </c>
      <c r="M24" s="31">
        <f>L24+IF(ISNUMBER(MATCH(19,'B Supuestos'!$D$20:$D$23,0)),INDEX('B Supuestos'!$F$20:$F$23,MATCH(19,'B Supuestos'!$D$20:$D$23,0))*(INDEX('Trayectorias B'!$C$5:$I$45,20,6)-INDEX('Trayectorias B'!$C$5:$I$45,16,6)*(1+'B Supuestos'!$B$12)),0)</f>
        <v>-17266750.501225464</v>
      </c>
      <c r="N24" s="31">
        <f>-'B Supuestos'!$B$6*INDEX('Trayectorias B'!$C$5:$I$45,20,7)</f>
        <v>-18491226.10437049</v>
      </c>
      <c r="O24" s="31">
        <f>N24+IF(ISNUMBER(MATCH(19,'B Supuestos'!$D$20:$D$23,0)),INDEX('B Supuestos'!$F$20:$F$23,MATCH(19,'B Supuestos'!$D$20:$D$23,0))*(INDEX('Trayectorias B'!$C$5:$I$45,20,7)-INDEX('Trayectorias B'!$C$5:$I$45,16,7)*(1+'B Supuestos'!$B$12)),0)</f>
        <v>-18491226.10437049</v>
      </c>
    </row>
    <row r="25" spans="1:15" x14ac:dyDescent="0.3">
      <c r="A25" s="39">
        <v>20</v>
      </c>
      <c r="B25" s="31">
        <f>-'B Supuestos'!$B$6*INDEX('Trayectorias B'!$C$5:$I$45,21,1)</f>
        <v>-20679217.643817618</v>
      </c>
      <c r="C25" s="31">
        <f>B25+IF(ISNUMBER(MATCH(20,'B Supuestos'!$D$20:$D$23,0)),INDEX('B Supuestos'!$F$20:$F$23,MATCH(20,'B Supuestos'!$D$20:$D$23,0))*(INDEX('Trayectorias B'!$C$5:$I$45,21,1)-INDEX('Trayectorias B'!$C$5:$I$45,17,1)*(1+'B Supuestos'!$B$12)),0)</f>
        <v>-20679217.643817618</v>
      </c>
      <c r="D25" s="31">
        <f>-'B Supuestos'!$B$6*INDEX('Trayectorias B'!$C$5:$I$45,21,2)</f>
        <v>-17911500.380813766</v>
      </c>
      <c r="E25" s="31">
        <f>D25+IF(ISNUMBER(MATCH(20,'B Supuestos'!$D$20:$D$23,0)),INDEX('B Supuestos'!$F$20:$F$23,MATCH(20,'B Supuestos'!$D$20:$D$23,0))*(INDEX('Trayectorias B'!$C$5:$I$45,21,2)-INDEX('Trayectorias B'!$C$5:$I$45,17,2)*(1+'B Supuestos'!$B$12)),0)</f>
        <v>-17911500.380813766</v>
      </c>
      <c r="F25" s="31">
        <f>-'B Supuestos'!$B$6*INDEX('Trayectorias B'!$C$5:$I$45,21,3)</f>
        <v>-17419772.317083452</v>
      </c>
      <c r="G25" s="31">
        <f>F25+IF(ISNUMBER(MATCH(20,'B Supuestos'!$D$20:$D$23,0)),INDEX('B Supuestos'!$F$20:$F$23,MATCH(20,'B Supuestos'!$D$20:$D$23,0))*(INDEX('Trayectorias B'!$C$5:$I$45,21,3)-INDEX('Trayectorias B'!$C$5:$I$45,17,3)*(1+'B Supuestos'!$B$12)),0)</f>
        <v>-17419772.317083452</v>
      </c>
      <c r="H25" s="31">
        <f>-'B Supuestos'!$B$6*INDEX('Trayectorias B'!$C$5:$I$45,21,4)</f>
        <v>-19727126.511542749</v>
      </c>
      <c r="I25" s="31">
        <f>H25+IF(ISNUMBER(MATCH(20,'B Supuestos'!$D$20:$D$23,0)),INDEX('B Supuestos'!$F$20:$F$23,MATCH(20,'B Supuestos'!$D$20:$D$23,0))*(INDEX('Trayectorias B'!$C$5:$I$45,21,4)-INDEX('Trayectorias B'!$C$5:$I$45,17,4)*(1+'B Supuestos'!$B$12)),0)</f>
        <v>-19727126.511542749</v>
      </c>
      <c r="J25" s="31">
        <f>-'B Supuestos'!$B$6*INDEX('Trayectorias B'!$C$5:$I$45,21,5)</f>
        <v>-20268099.310204022</v>
      </c>
      <c r="K25" s="31">
        <f>J25+IF(ISNUMBER(MATCH(20,'B Supuestos'!$D$20:$D$23,0)),INDEX('B Supuestos'!$F$20:$F$23,MATCH(20,'B Supuestos'!$D$20:$D$23,0))*(INDEX('Trayectorias B'!$C$5:$I$45,21,5)-INDEX('Trayectorias B'!$C$5:$I$45,17,5)*(1+'B Supuestos'!$B$12)),0)</f>
        <v>-20268099.310204022</v>
      </c>
      <c r="L25" s="31">
        <f>-'B Supuestos'!$B$6*INDEX('Trayectorias B'!$C$5:$I$45,21,6)</f>
        <v>-18262440.065301619</v>
      </c>
      <c r="M25" s="31">
        <f>L25+IF(ISNUMBER(MATCH(20,'B Supuestos'!$D$20:$D$23,0)),INDEX('B Supuestos'!$F$20:$F$23,MATCH(20,'B Supuestos'!$D$20:$D$23,0))*(INDEX('Trayectorias B'!$C$5:$I$45,21,6)-INDEX('Trayectorias B'!$C$5:$I$45,17,6)*(1+'B Supuestos'!$B$12)),0)</f>
        <v>-18262440.065301619</v>
      </c>
      <c r="N25" s="31">
        <f>-'B Supuestos'!$B$6*INDEX('Trayectorias B'!$C$5:$I$45,21,7)</f>
        <v>-18579155.802009154</v>
      </c>
      <c r="O25" s="31">
        <f>N25+IF(ISNUMBER(MATCH(20,'B Supuestos'!$D$20:$D$23,0)),INDEX('B Supuestos'!$F$20:$F$23,MATCH(20,'B Supuestos'!$D$20:$D$23,0))*(INDEX('Trayectorias B'!$C$5:$I$45,21,7)-INDEX('Trayectorias B'!$C$5:$I$45,17,7)*(1+'B Supuestos'!$B$12)),0)</f>
        <v>-18579155.802009154</v>
      </c>
    </row>
    <row r="26" spans="1:15" x14ac:dyDescent="0.3">
      <c r="A26" s="39">
        <v>21</v>
      </c>
      <c r="B26" s="31">
        <f>-'B Supuestos'!$B$6*INDEX('Trayectorias B'!$C$5:$I$45,22,1)</f>
        <v>-20412413.431862202</v>
      </c>
      <c r="C26" s="31">
        <f>B26+IF(ISNUMBER(MATCH(21,'B Supuestos'!$D$20:$D$23,0)),INDEX('B Supuestos'!$F$20:$F$23,MATCH(21,'B Supuestos'!$D$20:$D$23,0))*(INDEX('Trayectorias B'!$C$5:$I$45,22,1)-INDEX('Trayectorias B'!$C$5:$I$45,18,1)*(1+'B Supuestos'!$B$12)),0)</f>
        <v>-20412413.431862202</v>
      </c>
      <c r="D26" s="31">
        <f>-'B Supuestos'!$B$6*INDEX('Trayectorias B'!$C$5:$I$45,22,2)</f>
        <v>-20488690.105530776</v>
      </c>
      <c r="E26" s="31">
        <f>D26+IF(ISNUMBER(MATCH(21,'B Supuestos'!$D$20:$D$23,0)),INDEX('B Supuestos'!$F$20:$F$23,MATCH(21,'B Supuestos'!$D$20:$D$23,0))*(INDEX('Trayectorias B'!$C$5:$I$45,22,2)-INDEX('Trayectorias B'!$C$5:$I$45,18,2)*(1+'B Supuestos'!$B$12)),0)</f>
        <v>-20488690.105530776</v>
      </c>
      <c r="F26" s="31">
        <f>-'B Supuestos'!$B$6*INDEX('Trayectorias B'!$C$5:$I$45,22,3)</f>
        <v>-17803110.389576416</v>
      </c>
      <c r="G26" s="31">
        <f>F26+IF(ISNUMBER(MATCH(21,'B Supuestos'!$D$20:$D$23,0)),INDEX('B Supuestos'!$F$20:$F$23,MATCH(21,'B Supuestos'!$D$20:$D$23,0))*(INDEX('Trayectorias B'!$C$5:$I$45,22,3)-INDEX('Trayectorias B'!$C$5:$I$45,18,3)*(1+'B Supuestos'!$B$12)),0)</f>
        <v>-17803110.389576416</v>
      </c>
      <c r="H26" s="31">
        <f>-'B Supuestos'!$B$6*INDEX('Trayectorias B'!$C$5:$I$45,22,4)</f>
        <v>-19819278.353643943</v>
      </c>
      <c r="I26" s="31">
        <f>H26+IF(ISNUMBER(MATCH(21,'B Supuestos'!$D$20:$D$23,0)),INDEX('B Supuestos'!$F$20:$F$23,MATCH(21,'B Supuestos'!$D$20:$D$23,0))*(INDEX('Trayectorias B'!$C$5:$I$45,22,4)-INDEX('Trayectorias B'!$C$5:$I$45,18,4)*(1+'B Supuestos'!$B$12)),0)</f>
        <v>-19819278.353643943</v>
      </c>
      <c r="J26" s="31">
        <f>-'B Supuestos'!$B$6*INDEX('Trayectorias B'!$C$5:$I$45,22,5)</f>
        <v>-21504317.986207493</v>
      </c>
      <c r="K26" s="31">
        <f>J26+IF(ISNUMBER(MATCH(21,'B Supuestos'!$D$20:$D$23,0)),INDEX('B Supuestos'!$F$20:$F$23,MATCH(21,'B Supuestos'!$D$20:$D$23,0))*(INDEX('Trayectorias B'!$C$5:$I$45,22,5)-INDEX('Trayectorias B'!$C$5:$I$45,18,5)*(1+'B Supuestos'!$B$12)),0)</f>
        <v>-21504317.986207493</v>
      </c>
      <c r="L26" s="31">
        <f>-'B Supuestos'!$B$6*INDEX('Trayectorias B'!$C$5:$I$45,22,6)</f>
        <v>-19813393.3929451</v>
      </c>
      <c r="M26" s="31">
        <f>L26+IF(ISNUMBER(MATCH(21,'B Supuestos'!$D$20:$D$23,0)),INDEX('B Supuestos'!$F$20:$F$23,MATCH(21,'B Supuestos'!$D$20:$D$23,0))*(INDEX('Trayectorias B'!$C$5:$I$45,22,6)-INDEX('Trayectorias B'!$C$5:$I$45,18,6)*(1+'B Supuestos'!$B$12)),0)</f>
        <v>-19813393.3929451</v>
      </c>
      <c r="N26" s="31">
        <f>-'B Supuestos'!$B$6*INDEX('Trayectorias B'!$C$5:$I$45,22,7)</f>
        <v>-18667503.623988695</v>
      </c>
      <c r="O26" s="31">
        <f>N26+IF(ISNUMBER(MATCH(21,'B Supuestos'!$D$20:$D$23,0)),INDEX('B Supuestos'!$F$20:$F$23,MATCH(21,'B Supuestos'!$D$20:$D$23,0))*(INDEX('Trayectorias B'!$C$5:$I$45,22,7)-INDEX('Trayectorias B'!$C$5:$I$45,18,7)*(1+'B Supuestos'!$B$12)),0)</f>
        <v>-18667503.623988695</v>
      </c>
    </row>
    <row r="27" spans="1:15" x14ac:dyDescent="0.3">
      <c r="A27" s="39">
        <v>22</v>
      </c>
      <c r="B27" s="31">
        <f>-'B Supuestos'!$B$6*INDEX('Trayectorias B'!$C$5:$I$45,23,1)</f>
        <v>-19560510.049313039</v>
      </c>
      <c r="C27" s="31">
        <f>B27+IF(ISNUMBER(MATCH(22,'B Supuestos'!$D$20:$D$23,0)),INDEX('B Supuestos'!$F$20:$F$23,MATCH(22,'B Supuestos'!$D$20:$D$23,0))*(INDEX('Trayectorias B'!$C$5:$I$45,23,1)-INDEX('Trayectorias B'!$C$5:$I$45,19,1)*(1+'B Supuestos'!$B$12)),0)</f>
        <v>-19560510.049313039</v>
      </c>
      <c r="D27" s="31">
        <f>-'B Supuestos'!$B$6*INDEX('Trayectorias B'!$C$5:$I$45,23,2)</f>
        <v>-19381345.490366377</v>
      </c>
      <c r="E27" s="31">
        <f>D27+IF(ISNUMBER(MATCH(22,'B Supuestos'!$D$20:$D$23,0)),INDEX('B Supuestos'!$F$20:$F$23,MATCH(22,'B Supuestos'!$D$20:$D$23,0))*(INDEX('Trayectorias B'!$C$5:$I$45,23,2)-INDEX('Trayectorias B'!$C$5:$I$45,19,2)*(1+'B Supuestos'!$B$12)),0)</f>
        <v>-19381345.490366377</v>
      </c>
      <c r="F27" s="31">
        <f>-'B Supuestos'!$B$6*INDEX('Trayectorias B'!$C$5:$I$45,23,3)</f>
        <v>-17487984.426480584</v>
      </c>
      <c r="G27" s="31">
        <f>F27+IF(ISNUMBER(MATCH(22,'B Supuestos'!$D$20:$D$23,0)),INDEX('B Supuestos'!$F$20:$F$23,MATCH(22,'B Supuestos'!$D$20:$D$23,0))*(INDEX('Trayectorias B'!$C$5:$I$45,23,3)-INDEX('Trayectorias B'!$C$5:$I$45,19,3)*(1+'B Supuestos'!$B$12)),0)</f>
        <v>-17487984.426480584</v>
      </c>
      <c r="H27" s="31">
        <f>-'B Supuestos'!$B$6*INDEX('Trayectorias B'!$C$5:$I$45,23,4)</f>
        <v>-20323316.315091547</v>
      </c>
      <c r="I27" s="31">
        <f>H27+IF(ISNUMBER(MATCH(22,'B Supuestos'!$D$20:$D$23,0)),INDEX('B Supuestos'!$F$20:$F$23,MATCH(22,'B Supuestos'!$D$20:$D$23,0))*(INDEX('Trayectorias B'!$C$5:$I$45,23,4)-INDEX('Trayectorias B'!$C$5:$I$45,19,4)*(1+'B Supuestos'!$B$12)),0)</f>
        <v>-20323316.315091547</v>
      </c>
      <c r="J27" s="31">
        <f>-'B Supuestos'!$B$6*INDEX('Trayectorias B'!$C$5:$I$45,23,5)</f>
        <v>-20185960.240909457</v>
      </c>
      <c r="K27" s="31">
        <f>J27+IF(ISNUMBER(MATCH(22,'B Supuestos'!$D$20:$D$23,0)),INDEX('B Supuestos'!$F$20:$F$23,MATCH(22,'B Supuestos'!$D$20:$D$23,0))*(INDEX('Trayectorias B'!$C$5:$I$45,23,5)-INDEX('Trayectorias B'!$C$5:$I$45,19,5)*(1+'B Supuestos'!$B$12)),0)</f>
        <v>-20185960.240909457</v>
      </c>
      <c r="L27" s="31">
        <f>-'B Supuestos'!$B$6*INDEX('Trayectorias B'!$C$5:$I$45,23,6)</f>
        <v>-20361803.884737764</v>
      </c>
      <c r="M27" s="31">
        <f>L27+IF(ISNUMBER(MATCH(22,'B Supuestos'!$D$20:$D$23,0)),INDEX('B Supuestos'!$F$20:$F$23,MATCH(22,'B Supuestos'!$D$20:$D$23,0))*(INDEX('Trayectorias B'!$C$5:$I$45,23,6)-INDEX('Trayectorias B'!$C$5:$I$45,19,6)*(1+'B Supuestos'!$B$12)),0)</f>
        <v>-20361803.884737764</v>
      </c>
      <c r="N27" s="31">
        <f>-'B Supuestos'!$B$6*INDEX('Trayectorias B'!$C$5:$I$45,23,7)</f>
        <v>-18756271.558578953</v>
      </c>
      <c r="O27" s="31">
        <f>N27+IF(ISNUMBER(MATCH(22,'B Supuestos'!$D$20:$D$23,0)),INDEX('B Supuestos'!$F$20:$F$23,MATCH(22,'B Supuestos'!$D$20:$D$23,0))*(INDEX('Trayectorias B'!$C$5:$I$45,23,7)-INDEX('Trayectorias B'!$C$5:$I$45,19,7)*(1+'B Supuestos'!$B$12)),0)</f>
        <v>-18756271.558578953</v>
      </c>
    </row>
    <row r="28" spans="1:15" x14ac:dyDescent="0.3">
      <c r="A28" s="39">
        <v>23</v>
      </c>
      <c r="B28" s="31">
        <f>-'B Supuestos'!$B$6*INDEX('Trayectorias B'!$C$5:$I$45,24,1)</f>
        <v>-20050430.04065926</v>
      </c>
      <c r="C28" s="31">
        <f>B28+IF(ISNUMBER(MATCH(23,'B Supuestos'!$D$20:$D$23,0)),INDEX('B Supuestos'!$F$20:$F$23,MATCH(23,'B Supuestos'!$D$20:$D$23,0))*(INDEX('Trayectorias B'!$C$5:$I$45,24,1)-INDEX('Trayectorias B'!$C$5:$I$45,20,1)*(1+'B Supuestos'!$B$12)),0)</f>
        <v>-20050430.04065926</v>
      </c>
      <c r="D28" s="31">
        <f>-'B Supuestos'!$B$6*INDEX('Trayectorias B'!$C$5:$I$45,24,2)</f>
        <v>-18665985.788294751</v>
      </c>
      <c r="E28" s="31">
        <f>D28+IF(ISNUMBER(MATCH(23,'B Supuestos'!$D$20:$D$23,0)),INDEX('B Supuestos'!$F$20:$F$23,MATCH(23,'B Supuestos'!$D$20:$D$23,0))*(INDEX('Trayectorias B'!$C$5:$I$45,24,2)-INDEX('Trayectorias B'!$C$5:$I$45,20,2)*(1+'B Supuestos'!$B$12)),0)</f>
        <v>-18665985.788294751</v>
      </c>
      <c r="F28" s="31">
        <f>-'B Supuestos'!$B$6*INDEX('Trayectorias B'!$C$5:$I$45,24,3)</f>
        <v>-18436337.973537553</v>
      </c>
      <c r="G28" s="31">
        <f>F28+IF(ISNUMBER(MATCH(23,'B Supuestos'!$D$20:$D$23,0)),INDEX('B Supuestos'!$F$20:$F$23,MATCH(23,'B Supuestos'!$D$20:$D$23,0))*(INDEX('Trayectorias B'!$C$5:$I$45,24,3)-INDEX('Trayectorias B'!$C$5:$I$45,20,3)*(1+'B Supuestos'!$B$12)),0)</f>
        <v>-18436337.973537553</v>
      </c>
      <c r="H28" s="31">
        <f>-'B Supuestos'!$B$6*INDEX('Trayectorias B'!$C$5:$I$45,24,4)</f>
        <v>-16904401.177729122</v>
      </c>
      <c r="I28" s="31">
        <f>H28+IF(ISNUMBER(MATCH(23,'B Supuestos'!$D$20:$D$23,0)),INDEX('B Supuestos'!$F$20:$F$23,MATCH(23,'B Supuestos'!$D$20:$D$23,0))*(INDEX('Trayectorias B'!$C$5:$I$45,24,4)-INDEX('Trayectorias B'!$C$5:$I$45,20,4)*(1+'B Supuestos'!$B$12)),0)</f>
        <v>-16904401.177729122</v>
      </c>
      <c r="J28" s="31">
        <f>-'B Supuestos'!$B$6*INDEX('Trayectorias B'!$C$5:$I$45,24,5)</f>
        <v>-19694830.146655686</v>
      </c>
      <c r="K28" s="31">
        <f>J28+IF(ISNUMBER(MATCH(23,'B Supuestos'!$D$20:$D$23,0)),INDEX('B Supuestos'!$F$20:$F$23,MATCH(23,'B Supuestos'!$D$20:$D$23,0))*(INDEX('Trayectorias B'!$C$5:$I$45,24,5)-INDEX('Trayectorias B'!$C$5:$I$45,20,5)*(1+'B Supuestos'!$B$12)),0)</f>
        <v>-19694830.146655686</v>
      </c>
      <c r="L28" s="31">
        <f>-'B Supuestos'!$B$6*INDEX('Trayectorias B'!$C$5:$I$45,24,6)</f>
        <v>-20669767.280102748</v>
      </c>
      <c r="M28" s="31">
        <f>L28+IF(ISNUMBER(MATCH(23,'B Supuestos'!$D$20:$D$23,0)),INDEX('B Supuestos'!$F$20:$F$23,MATCH(23,'B Supuestos'!$D$20:$D$23,0))*(INDEX('Trayectorias B'!$C$5:$I$45,24,6)-INDEX('Trayectorias B'!$C$5:$I$45,20,6)*(1+'B Supuestos'!$B$12)),0)</f>
        <v>-20669767.280102748</v>
      </c>
      <c r="N28" s="31">
        <f>-'B Supuestos'!$B$6*INDEX('Trayectorias B'!$C$5:$I$45,24,7)</f>
        <v>-18845461.603504356</v>
      </c>
      <c r="O28" s="31">
        <f>N28+IF(ISNUMBER(MATCH(23,'B Supuestos'!$D$20:$D$23,0)),INDEX('B Supuestos'!$F$20:$F$23,MATCH(23,'B Supuestos'!$D$20:$D$23,0))*(INDEX('Trayectorias B'!$C$5:$I$45,24,7)-INDEX('Trayectorias B'!$C$5:$I$45,20,7)*(1+'B Supuestos'!$B$12)),0)</f>
        <v>-18845461.603504356</v>
      </c>
    </row>
    <row r="29" spans="1:15" x14ac:dyDescent="0.3">
      <c r="A29" s="39">
        <v>24</v>
      </c>
      <c r="B29" s="31">
        <f>-'B Supuestos'!$B$6*INDEX('Trayectorias B'!$C$5:$I$45,25,1)</f>
        <v>-19539134.094005864</v>
      </c>
      <c r="C29" s="31">
        <f>B29+IF(ISNUMBER(MATCH(24,'B Supuestos'!$D$20:$D$23,0)),INDEX('B Supuestos'!$F$20:$F$23,MATCH(24,'B Supuestos'!$D$20:$D$23,0))*(INDEX('Trayectorias B'!$C$5:$I$45,25,1)-INDEX('Trayectorias B'!$C$5:$I$45,21,1)*(1+'B Supuestos'!$B$12)),0)</f>
        <v>-19539134.094005864</v>
      </c>
      <c r="D29" s="31">
        <f>-'B Supuestos'!$B$6*INDEX('Trayectorias B'!$C$5:$I$45,25,2)</f>
        <v>-18868211.181209411</v>
      </c>
      <c r="E29" s="31">
        <f>D29+IF(ISNUMBER(MATCH(24,'B Supuestos'!$D$20:$D$23,0)),INDEX('B Supuestos'!$F$20:$F$23,MATCH(24,'B Supuestos'!$D$20:$D$23,0))*(INDEX('Trayectorias B'!$C$5:$I$45,25,2)-INDEX('Trayectorias B'!$C$5:$I$45,21,2)*(1+'B Supuestos'!$B$12)),0)</f>
        <v>-18868211.181209411</v>
      </c>
      <c r="F29" s="31">
        <f>-'B Supuestos'!$B$6*INDEX('Trayectorias B'!$C$5:$I$45,25,3)</f>
        <v>-19521179.792148404</v>
      </c>
      <c r="G29" s="31">
        <f>F29+IF(ISNUMBER(MATCH(24,'B Supuestos'!$D$20:$D$23,0)),INDEX('B Supuestos'!$F$20:$F$23,MATCH(24,'B Supuestos'!$D$20:$D$23,0))*(INDEX('Trayectorias B'!$C$5:$I$45,25,3)-INDEX('Trayectorias B'!$C$5:$I$45,21,3)*(1+'B Supuestos'!$B$12)),0)</f>
        <v>-19521179.792148404</v>
      </c>
      <c r="H29" s="31">
        <f>-'B Supuestos'!$B$6*INDEX('Trayectorias B'!$C$5:$I$45,25,4)</f>
        <v>-18335199.209599033</v>
      </c>
      <c r="I29" s="31">
        <f>H29+IF(ISNUMBER(MATCH(24,'B Supuestos'!$D$20:$D$23,0)),INDEX('B Supuestos'!$F$20:$F$23,MATCH(24,'B Supuestos'!$D$20:$D$23,0))*(INDEX('Trayectorias B'!$C$5:$I$45,25,4)-INDEX('Trayectorias B'!$C$5:$I$45,21,4)*(1+'B Supuestos'!$B$12)),0)</f>
        <v>-18335199.209599033</v>
      </c>
      <c r="J29" s="31">
        <f>-'B Supuestos'!$B$6*INDEX('Trayectorias B'!$C$5:$I$45,25,5)</f>
        <v>-19324705.323664207</v>
      </c>
      <c r="K29" s="31">
        <f>J29+IF(ISNUMBER(MATCH(24,'B Supuestos'!$D$20:$D$23,0)),INDEX('B Supuestos'!$F$20:$F$23,MATCH(24,'B Supuestos'!$D$20:$D$23,0))*(INDEX('Trayectorias B'!$C$5:$I$45,25,5)-INDEX('Trayectorias B'!$C$5:$I$45,21,5)*(1+'B Supuestos'!$B$12)),0)</f>
        <v>-19324705.323664207</v>
      </c>
      <c r="L29" s="31">
        <f>-'B Supuestos'!$B$6*INDEX('Trayectorias B'!$C$5:$I$45,25,6)</f>
        <v>-18849373.105408404</v>
      </c>
      <c r="M29" s="31">
        <f>L29+IF(ISNUMBER(MATCH(24,'B Supuestos'!$D$20:$D$23,0)),INDEX('B Supuestos'!$F$20:$F$23,MATCH(24,'B Supuestos'!$D$20:$D$23,0))*(INDEX('Trayectorias B'!$C$5:$I$45,25,6)-INDEX('Trayectorias B'!$C$5:$I$45,21,6)*(1+'B Supuestos'!$B$12)),0)</f>
        <v>-18849373.105408404</v>
      </c>
      <c r="N29" s="31">
        <f>-'B Supuestos'!$B$6*INDEX('Trayectorias B'!$C$5:$I$45,25,7)</f>
        <v>-18935075.765989009</v>
      </c>
      <c r="O29" s="31">
        <f>N29+IF(ISNUMBER(MATCH(24,'B Supuestos'!$D$20:$D$23,0)),INDEX('B Supuestos'!$F$20:$F$23,MATCH(24,'B Supuestos'!$D$20:$D$23,0))*(INDEX('Trayectorias B'!$C$5:$I$45,25,7)-INDEX('Trayectorias B'!$C$5:$I$45,21,7)*(1+'B Supuestos'!$B$12)),0)</f>
        <v>-18935075.765989009</v>
      </c>
    </row>
    <row r="30" spans="1:15" x14ac:dyDescent="0.3">
      <c r="A30" s="39">
        <v>25</v>
      </c>
      <c r="B30" s="31">
        <f>-'B Supuestos'!$B$6*INDEX('Trayectorias B'!$C$5:$I$45,26,1)</f>
        <v>-19387104.245372511</v>
      </c>
      <c r="C30" s="31">
        <f>B30+IF(ISNUMBER(MATCH(25,'B Supuestos'!$D$20:$D$23,0)),INDEX('B Supuestos'!$F$20:$F$23,MATCH(25,'B Supuestos'!$D$20:$D$23,0))*(INDEX('Trayectorias B'!$C$5:$I$45,26,1)-INDEX('Trayectorias B'!$C$5:$I$45,22,1)*(1+'B Supuestos'!$B$12)),0)</f>
        <v>-19387104.245372511</v>
      </c>
      <c r="D30" s="31">
        <f>-'B Supuestos'!$B$6*INDEX('Trayectorias B'!$C$5:$I$45,26,2)</f>
        <v>-17595454.626408134</v>
      </c>
      <c r="E30" s="31">
        <f>D30+IF(ISNUMBER(MATCH(25,'B Supuestos'!$D$20:$D$23,0)),INDEX('B Supuestos'!$F$20:$F$23,MATCH(25,'B Supuestos'!$D$20:$D$23,0))*(INDEX('Trayectorias B'!$C$5:$I$45,26,2)-INDEX('Trayectorias B'!$C$5:$I$45,22,2)*(1+'B Supuestos'!$B$12)),0)</f>
        <v>-17595454.626408134</v>
      </c>
      <c r="F30" s="31">
        <f>-'B Supuestos'!$B$6*INDEX('Trayectorias B'!$C$5:$I$45,26,3)</f>
        <v>-20395842.578083672</v>
      </c>
      <c r="G30" s="31">
        <f>F30+IF(ISNUMBER(MATCH(25,'B Supuestos'!$D$20:$D$23,0)),INDEX('B Supuestos'!$F$20:$F$23,MATCH(25,'B Supuestos'!$D$20:$D$23,0))*(INDEX('Trayectorias B'!$C$5:$I$45,26,3)-INDEX('Trayectorias B'!$C$5:$I$45,22,3)*(1+'B Supuestos'!$B$12)),0)</f>
        <v>-20395842.578083672</v>
      </c>
      <c r="H30" s="31">
        <f>-'B Supuestos'!$B$6*INDEX('Trayectorias B'!$C$5:$I$45,26,4)</f>
        <v>-17402347.654290289</v>
      </c>
      <c r="I30" s="31">
        <f>H30+IF(ISNUMBER(MATCH(25,'B Supuestos'!$D$20:$D$23,0)),INDEX('B Supuestos'!$F$20:$F$23,MATCH(25,'B Supuestos'!$D$20:$D$23,0))*(INDEX('Trayectorias B'!$C$5:$I$45,26,4)-INDEX('Trayectorias B'!$C$5:$I$45,22,4)*(1+'B Supuestos'!$B$12)),0)</f>
        <v>-17402347.654290289</v>
      </c>
      <c r="J30" s="31">
        <f>-'B Supuestos'!$B$6*INDEX('Trayectorias B'!$C$5:$I$45,26,5)</f>
        <v>-20082025.56321818</v>
      </c>
      <c r="K30" s="31">
        <f>J30+IF(ISNUMBER(MATCH(25,'B Supuestos'!$D$20:$D$23,0)),INDEX('B Supuestos'!$F$20:$F$23,MATCH(25,'B Supuestos'!$D$20:$D$23,0))*(INDEX('Trayectorias B'!$C$5:$I$45,26,5)-INDEX('Trayectorias B'!$C$5:$I$45,22,5)*(1+'B Supuestos'!$B$12)),0)</f>
        <v>-20082025.56321818</v>
      </c>
      <c r="L30" s="31">
        <f>-'B Supuestos'!$B$6*INDEX('Trayectorias B'!$C$5:$I$45,26,6)</f>
        <v>-19027549.090712164</v>
      </c>
      <c r="M30" s="31">
        <f>L30+IF(ISNUMBER(MATCH(25,'B Supuestos'!$D$20:$D$23,0)),INDEX('B Supuestos'!$F$20:$F$23,MATCH(25,'B Supuestos'!$D$20:$D$23,0))*(INDEX('Trayectorias B'!$C$5:$I$45,26,6)-INDEX('Trayectorias B'!$C$5:$I$45,22,6)*(1+'B Supuestos'!$B$12)),0)</f>
        <v>-19027549.090712164</v>
      </c>
      <c r="N30" s="31">
        <f>-'B Supuestos'!$B$6*INDEX('Trayectorias B'!$C$5:$I$45,26,7)</f>
        <v>-19025116.062801722</v>
      </c>
      <c r="O30" s="31">
        <f>N30+IF(ISNUMBER(MATCH(25,'B Supuestos'!$D$20:$D$23,0)),INDEX('B Supuestos'!$F$20:$F$23,MATCH(25,'B Supuestos'!$D$20:$D$23,0))*(INDEX('Trayectorias B'!$C$5:$I$45,26,7)-INDEX('Trayectorias B'!$C$5:$I$45,22,7)*(1+'B Supuestos'!$B$12)),0)</f>
        <v>-19025116.062801722</v>
      </c>
    </row>
    <row r="31" spans="1:15" x14ac:dyDescent="0.3">
      <c r="A31" s="39">
        <v>26</v>
      </c>
      <c r="B31" s="31">
        <f>-'B Supuestos'!$B$6*INDEX('Trayectorias B'!$C$5:$I$45,27,1)</f>
        <v>-18611047.022458751</v>
      </c>
      <c r="C31" s="31">
        <f>B31+IF(ISNUMBER(MATCH(26,'B Supuestos'!$D$20:$D$23,0)),INDEX('B Supuestos'!$F$20:$F$23,MATCH(26,'B Supuestos'!$D$20:$D$23,0))*(INDEX('Trayectorias B'!$C$5:$I$45,27,1)-INDEX('Trayectorias B'!$C$5:$I$45,23,1)*(1+'B Supuestos'!$B$12)),0)</f>
        <v>-18611047.022458751</v>
      </c>
      <c r="D31" s="31">
        <f>-'B Supuestos'!$B$6*INDEX('Trayectorias B'!$C$5:$I$45,27,2)</f>
        <v>-17638874.523965288</v>
      </c>
      <c r="E31" s="31">
        <f>D31+IF(ISNUMBER(MATCH(26,'B Supuestos'!$D$20:$D$23,0)),INDEX('B Supuestos'!$F$20:$F$23,MATCH(26,'B Supuestos'!$D$20:$D$23,0))*(INDEX('Trayectorias B'!$C$5:$I$45,27,2)-INDEX('Trayectorias B'!$C$5:$I$45,23,2)*(1+'B Supuestos'!$B$12)),0)</f>
        <v>-17638874.523965288</v>
      </c>
      <c r="F31" s="31">
        <f>-'B Supuestos'!$B$6*INDEX('Trayectorias B'!$C$5:$I$45,27,3)</f>
        <v>-21867853.058330461</v>
      </c>
      <c r="G31" s="31">
        <f>F31+IF(ISNUMBER(MATCH(26,'B Supuestos'!$D$20:$D$23,0)),INDEX('B Supuestos'!$F$20:$F$23,MATCH(26,'B Supuestos'!$D$20:$D$23,0))*(INDEX('Trayectorias B'!$C$5:$I$45,27,3)-INDEX('Trayectorias B'!$C$5:$I$45,23,3)*(1+'B Supuestos'!$B$12)),0)</f>
        <v>-21867853.058330461</v>
      </c>
      <c r="H31" s="31">
        <f>-'B Supuestos'!$B$6*INDEX('Trayectorias B'!$C$5:$I$45,27,4)</f>
        <v>-18199831.309035327</v>
      </c>
      <c r="I31" s="31">
        <f>H31+IF(ISNUMBER(MATCH(26,'B Supuestos'!$D$20:$D$23,0)),INDEX('B Supuestos'!$F$20:$F$23,MATCH(26,'B Supuestos'!$D$20:$D$23,0))*(INDEX('Trayectorias B'!$C$5:$I$45,27,4)-INDEX('Trayectorias B'!$C$5:$I$45,23,4)*(1+'B Supuestos'!$B$12)),0)</f>
        <v>-18199831.309035327</v>
      </c>
      <c r="J31" s="31">
        <f>-'B Supuestos'!$B$6*INDEX('Trayectorias B'!$C$5:$I$45,27,5)</f>
        <v>-21258685.78590944</v>
      </c>
      <c r="K31" s="31">
        <f>J31+IF(ISNUMBER(MATCH(26,'B Supuestos'!$D$20:$D$23,0)),INDEX('B Supuestos'!$F$20:$F$23,MATCH(26,'B Supuestos'!$D$20:$D$23,0))*(INDEX('Trayectorias B'!$C$5:$I$45,27,5)-INDEX('Trayectorias B'!$C$5:$I$45,23,5)*(1+'B Supuestos'!$B$12)),0)</f>
        <v>-21258685.78590944</v>
      </c>
      <c r="L31" s="31">
        <f>-'B Supuestos'!$B$6*INDEX('Trayectorias B'!$C$5:$I$45,27,6)</f>
        <v>-19540956.638769701</v>
      </c>
      <c r="M31" s="31">
        <f>L31+IF(ISNUMBER(MATCH(26,'B Supuestos'!$D$20:$D$23,0)),INDEX('B Supuestos'!$F$20:$F$23,MATCH(26,'B Supuestos'!$D$20:$D$23,0))*(INDEX('Trayectorias B'!$C$5:$I$45,27,6)-INDEX('Trayectorias B'!$C$5:$I$45,23,6)*(1+'B Supuestos'!$B$12)),0)</f>
        <v>-19540956.638769701</v>
      </c>
      <c r="N31" s="31">
        <f>-'B Supuestos'!$B$6*INDEX('Trayectorias B'!$C$5:$I$45,27,7)</f>
        <v>-19115584.52030151</v>
      </c>
      <c r="O31" s="31">
        <f>N31+IF(ISNUMBER(MATCH(26,'B Supuestos'!$D$20:$D$23,0)),INDEX('B Supuestos'!$F$20:$F$23,MATCH(26,'B Supuestos'!$D$20:$D$23,0))*(INDEX('Trayectorias B'!$C$5:$I$45,27,7)-INDEX('Trayectorias B'!$C$5:$I$45,23,7)*(1+'B Supuestos'!$B$12)),0)</f>
        <v>-19115584.52030151</v>
      </c>
    </row>
    <row r="32" spans="1:15" x14ac:dyDescent="0.3">
      <c r="A32" s="39">
        <v>27</v>
      </c>
      <c r="B32" s="31">
        <f>-'B Supuestos'!$B$6*INDEX('Trayectorias B'!$C$5:$I$45,28,1)</f>
        <v>-18776691.95056304</v>
      </c>
      <c r="C32" s="31">
        <f>B32+IF(ISNUMBER(MATCH(27,'B Supuestos'!$D$20:$D$23,0)),INDEX('B Supuestos'!$F$20:$F$23,MATCH(27,'B Supuestos'!$D$20:$D$23,0))*(INDEX('Trayectorias B'!$C$5:$I$45,28,1)-INDEX('Trayectorias B'!$C$5:$I$45,24,1)*(1+'B Supuestos'!$B$12)),0)</f>
        <v>-18776691.95056304</v>
      </c>
      <c r="D32" s="31">
        <f>-'B Supuestos'!$B$6*INDEX('Trayectorias B'!$C$5:$I$45,28,2)</f>
        <v>-19552302.162754849</v>
      </c>
      <c r="E32" s="31">
        <f>D32+IF(ISNUMBER(MATCH(27,'B Supuestos'!$D$20:$D$23,0)),INDEX('B Supuestos'!$F$20:$F$23,MATCH(27,'B Supuestos'!$D$20:$D$23,0))*(INDEX('Trayectorias B'!$C$5:$I$45,28,2)-INDEX('Trayectorias B'!$C$5:$I$45,24,2)*(1+'B Supuestos'!$B$12)),0)</f>
        <v>-19552302.162754849</v>
      </c>
      <c r="F32" s="31">
        <f>-'B Supuestos'!$B$6*INDEX('Trayectorias B'!$C$5:$I$45,28,3)</f>
        <v>-21650188.839238655</v>
      </c>
      <c r="G32" s="31">
        <f>F32+IF(ISNUMBER(MATCH(27,'B Supuestos'!$D$20:$D$23,0)),INDEX('B Supuestos'!$F$20:$F$23,MATCH(27,'B Supuestos'!$D$20:$D$23,0))*(INDEX('Trayectorias B'!$C$5:$I$45,28,3)-INDEX('Trayectorias B'!$C$5:$I$45,24,3)*(1+'B Supuestos'!$B$12)),0)</f>
        <v>-21650188.839238655</v>
      </c>
      <c r="H32" s="31">
        <f>-'B Supuestos'!$B$6*INDEX('Trayectorias B'!$C$5:$I$45,28,4)</f>
        <v>-18083226.670881558</v>
      </c>
      <c r="I32" s="31">
        <f>H32+IF(ISNUMBER(MATCH(27,'B Supuestos'!$D$20:$D$23,0)),INDEX('B Supuestos'!$F$20:$F$23,MATCH(27,'B Supuestos'!$D$20:$D$23,0))*(INDEX('Trayectorias B'!$C$5:$I$45,28,4)-INDEX('Trayectorias B'!$C$5:$I$45,24,4)*(1+'B Supuestos'!$B$12)),0)</f>
        <v>-18083226.670881558</v>
      </c>
      <c r="J32" s="31">
        <f>-'B Supuestos'!$B$6*INDEX('Trayectorias B'!$C$5:$I$45,28,5)</f>
        <v>-21761568.25733896</v>
      </c>
      <c r="K32" s="31">
        <f>J32+IF(ISNUMBER(MATCH(27,'B Supuestos'!$D$20:$D$23,0)),INDEX('B Supuestos'!$F$20:$F$23,MATCH(27,'B Supuestos'!$D$20:$D$23,0))*(INDEX('Trayectorias B'!$C$5:$I$45,28,5)-INDEX('Trayectorias B'!$C$5:$I$45,24,5)*(1+'B Supuestos'!$B$12)),0)</f>
        <v>-21761568.25733896</v>
      </c>
      <c r="L32" s="31">
        <f>-'B Supuestos'!$B$6*INDEX('Trayectorias B'!$C$5:$I$45,28,6)</f>
        <v>-20275063.555916991</v>
      </c>
      <c r="M32" s="31">
        <f>L32+IF(ISNUMBER(MATCH(27,'B Supuestos'!$D$20:$D$23,0)),INDEX('B Supuestos'!$F$20:$F$23,MATCH(27,'B Supuestos'!$D$20:$D$23,0))*(INDEX('Trayectorias B'!$C$5:$I$45,28,6)-INDEX('Trayectorias B'!$C$5:$I$45,24,6)*(1+'B Supuestos'!$B$12)),0)</f>
        <v>-20275063.555916991</v>
      </c>
      <c r="N32" s="31">
        <f>-'B Supuestos'!$B$6*INDEX('Trayectorias B'!$C$5:$I$45,28,7)</f>
        <v>-19206483.174483184</v>
      </c>
      <c r="O32" s="31">
        <f>N32+IF(ISNUMBER(MATCH(27,'B Supuestos'!$D$20:$D$23,0)),INDEX('B Supuestos'!$F$20:$F$23,MATCH(27,'B Supuestos'!$D$20:$D$23,0))*(INDEX('Trayectorias B'!$C$5:$I$45,28,7)-INDEX('Trayectorias B'!$C$5:$I$45,24,7)*(1+'B Supuestos'!$B$12)),0)</f>
        <v>-19206483.174483184</v>
      </c>
    </row>
    <row r="33" spans="1:15" x14ac:dyDescent="0.3">
      <c r="A33" s="39">
        <v>28</v>
      </c>
      <c r="B33" s="31">
        <f>-'B Supuestos'!$B$6*INDEX('Trayectorias B'!$C$5:$I$45,29,1)</f>
        <v>-15347912.002226131</v>
      </c>
      <c r="C33" s="31">
        <f>B33+IF(ISNUMBER(MATCH(28,'B Supuestos'!$D$20:$D$23,0)),INDEX('B Supuestos'!$F$20:$F$23,MATCH(28,'B Supuestos'!$D$20:$D$23,0))*(INDEX('Trayectorias B'!$C$5:$I$45,29,1)-INDEX('Trayectorias B'!$C$5:$I$45,25,1)*(1+'B Supuestos'!$B$12)),0)</f>
        <v>-32679550.539410487</v>
      </c>
      <c r="D33" s="31">
        <f>-'B Supuestos'!$B$6*INDEX('Trayectorias B'!$C$5:$I$45,29,2)</f>
        <v>-19002881.529869217</v>
      </c>
      <c r="E33" s="31">
        <f>D33+IF(ISNUMBER(MATCH(28,'B Supuestos'!$D$20:$D$23,0)),INDEX('B Supuestos'!$F$20:$F$23,MATCH(28,'B Supuestos'!$D$20:$D$23,0))*(INDEX('Trayectorias B'!$C$5:$I$45,29,2)-INDEX('Trayectorias B'!$C$5:$I$45,25,2)*(1+'B Supuestos'!$B$12)),0)</f>
        <v>-23193466.385576732</v>
      </c>
      <c r="F33" s="31">
        <f>-'B Supuestos'!$B$6*INDEX('Trayectorias B'!$C$5:$I$45,29,3)</f>
        <v>-24048839.183704726</v>
      </c>
      <c r="G33" s="31">
        <f>F33+IF(ISNUMBER(MATCH(28,'B Supuestos'!$D$20:$D$23,0)),INDEX('B Supuestos'!$F$20:$F$23,MATCH(28,'B Supuestos'!$D$20:$D$23,0))*(INDEX('Trayectorias B'!$C$5:$I$45,29,3)-INDEX('Trayectorias B'!$C$5:$I$45,25,3)*(1+'B Supuestos'!$B$12)),0)</f>
        <v>-15219461.220931944</v>
      </c>
      <c r="H33" s="31">
        <f>-'B Supuestos'!$B$6*INDEX('Trayectorias B'!$C$5:$I$45,29,4)</f>
        <v>-16440476.395892665</v>
      </c>
      <c r="I33" s="31">
        <f>H33+IF(ISNUMBER(MATCH(28,'B Supuestos'!$D$20:$D$23,0)),INDEX('B Supuestos'!$F$20:$F$23,MATCH(28,'B Supuestos'!$D$20:$D$23,0))*(INDEX('Trayectorias B'!$C$5:$I$45,29,4)-INDEX('Trayectorias B'!$C$5:$I$45,25,4)*(1+'B Supuestos'!$B$12)),0)</f>
        <v>-26589447.055726252</v>
      </c>
      <c r="J33" s="31">
        <f>-'B Supuestos'!$B$6*INDEX('Trayectorias B'!$C$5:$I$45,29,5)</f>
        <v>-22190225.721408334</v>
      </c>
      <c r="K33" s="31">
        <f>J33+IF(ISNUMBER(MATCH(28,'B Supuestos'!$D$20:$D$23,0)),INDEX('B Supuestos'!$F$20:$F$23,MATCH(28,'B Supuestos'!$D$20:$D$23,0))*(INDEX('Trayectorias B'!$C$5:$I$45,29,5)-INDEX('Trayectorias B'!$C$5:$I$45,25,5)*(1+'B Supuestos'!$B$12)),0)</f>
        <v>-18299421.265191868</v>
      </c>
      <c r="L33" s="31">
        <f>-'B Supuestos'!$B$6*INDEX('Trayectorias B'!$C$5:$I$45,29,6)</f>
        <v>-20190063.666981984</v>
      </c>
      <c r="M33" s="31">
        <f>L33+IF(ISNUMBER(MATCH(28,'B Supuestos'!$D$20:$D$23,0)),INDEX('B Supuestos'!$F$20:$F$23,MATCH(28,'B Supuestos'!$D$20:$D$23,0))*(INDEX('Trayectorias B'!$C$5:$I$45,29,6)-INDEX('Trayectorias B'!$C$5:$I$45,25,6)*(1+'B Supuestos'!$B$12)),0)</f>
        <v>-20758000.626309413</v>
      </c>
      <c r="N33" s="31">
        <f>-'B Supuestos'!$B$6*INDEX('Trayectorias B'!$C$5:$I$45,29,7)</f>
        <v>-19297814.071023114</v>
      </c>
      <c r="O33" s="31">
        <f>N33+IF(ISNUMBER(MATCH(28,'B Supuestos'!$D$20:$D$23,0)),INDEX('B Supuestos'!$F$20:$F$23,MATCH(28,'B Supuestos'!$D$20:$D$23,0))*(INDEX('Trayectorias B'!$C$5:$I$45,29,7)-INDEX('Trayectorias B'!$C$5:$I$45,25,7)*(1+'B Supuestos'!$B$12)),0)</f>
        <v>-22820477.244840324</v>
      </c>
    </row>
    <row r="34" spans="1:15" x14ac:dyDescent="0.3">
      <c r="A34" s="39">
        <v>29</v>
      </c>
      <c r="B34" s="31">
        <f>-'B Supuestos'!$B$6*INDEX('Trayectorias B'!$C$5:$I$45,30,1)</f>
        <v>-16236359.164445803</v>
      </c>
      <c r="C34" s="31">
        <f>B34+IF(ISNUMBER(MATCH(29,'B Supuestos'!$D$20:$D$23,0)),INDEX('B Supuestos'!$F$20:$F$23,MATCH(29,'B Supuestos'!$D$20:$D$23,0))*(INDEX('Trayectorias B'!$C$5:$I$45,30,1)-INDEX('Trayectorias B'!$C$5:$I$45,26,1)*(1+'B Supuestos'!$B$12)),0)</f>
        <v>-16236359.164445803</v>
      </c>
      <c r="D34" s="31">
        <f>-'B Supuestos'!$B$6*INDEX('Trayectorias B'!$C$5:$I$45,30,2)</f>
        <v>-18723635.952987224</v>
      </c>
      <c r="E34" s="31">
        <f>D34+IF(ISNUMBER(MATCH(29,'B Supuestos'!$D$20:$D$23,0)),INDEX('B Supuestos'!$F$20:$F$23,MATCH(29,'B Supuestos'!$D$20:$D$23,0))*(INDEX('Trayectorias B'!$C$5:$I$45,30,2)-INDEX('Trayectorias B'!$C$5:$I$45,26,2)*(1+'B Supuestos'!$B$12)),0)</f>
        <v>-18723635.952987224</v>
      </c>
      <c r="F34" s="31">
        <f>-'B Supuestos'!$B$6*INDEX('Trayectorias B'!$C$5:$I$45,30,3)</f>
        <v>-24827894.209708553</v>
      </c>
      <c r="G34" s="31">
        <f>F34+IF(ISNUMBER(MATCH(29,'B Supuestos'!$D$20:$D$23,0)),INDEX('B Supuestos'!$F$20:$F$23,MATCH(29,'B Supuestos'!$D$20:$D$23,0))*(INDEX('Trayectorias B'!$C$5:$I$45,30,3)-INDEX('Trayectorias B'!$C$5:$I$45,26,3)*(1+'B Supuestos'!$B$12)),0)</f>
        <v>-24827894.209708553</v>
      </c>
      <c r="H34" s="31">
        <f>-'B Supuestos'!$B$6*INDEX('Trayectorias B'!$C$5:$I$45,30,4)</f>
        <v>-16134531.639236763</v>
      </c>
      <c r="I34" s="31">
        <f>H34+IF(ISNUMBER(MATCH(29,'B Supuestos'!$D$20:$D$23,0)),INDEX('B Supuestos'!$F$20:$F$23,MATCH(29,'B Supuestos'!$D$20:$D$23,0))*(INDEX('Trayectorias B'!$C$5:$I$45,30,4)-INDEX('Trayectorias B'!$C$5:$I$45,26,4)*(1+'B Supuestos'!$B$12)),0)</f>
        <v>-16134531.639236763</v>
      </c>
      <c r="J34" s="31">
        <f>-'B Supuestos'!$B$6*INDEX('Trayectorias B'!$C$5:$I$45,30,5)</f>
        <v>-23386774.448836334</v>
      </c>
      <c r="K34" s="31">
        <f>J34+IF(ISNUMBER(MATCH(29,'B Supuestos'!$D$20:$D$23,0)),INDEX('B Supuestos'!$F$20:$F$23,MATCH(29,'B Supuestos'!$D$20:$D$23,0))*(INDEX('Trayectorias B'!$C$5:$I$45,30,5)-INDEX('Trayectorias B'!$C$5:$I$45,26,5)*(1+'B Supuestos'!$B$12)),0)</f>
        <v>-23386774.448836334</v>
      </c>
      <c r="L34" s="31">
        <f>-'B Supuestos'!$B$6*INDEX('Trayectorias B'!$C$5:$I$45,30,6)</f>
        <v>-22604374.46140524</v>
      </c>
      <c r="M34" s="31">
        <f>L34+IF(ISNUMBER(MATCH(29,'B Supuestos'!$D$20:$D$23,0)),INDEX('B Supuestos'!$F$20:$F$23,MATCH(29,'B Supuestos'!$D$20:$D$23,0))*(INDEX('Trayectorias B'!$C$5:$I$45,30,6)-INDEX('Trayectorias B'!$C$5:$I$45,26,6)*(1+'B Supuestos'!$B$12)),0)</f>
        <v>-22604374.46140524</v>
      </c>
      <c r="N34" s="31">
        <f>-'B Supuestos'!$B$6*INDEX('Trayectorias B'!$C$5:$I$45,30,7)</f>
        <v>-19389579.265325222</v>
      </c>
      <c r="O34" s="31">
        <f>N34+IF(ISNUMBER(MATCH(29,'B Supuestos'!$D$20:$D$23,0)),INDEX('B Supuestos'!$F$20:$F$23,MATCH(29,'B Supuestos'!$D$20:$D$23,0))*(INDEX('Trayectorias B'!$C$5:$I$45,30,7)-INDEX('Trayectorias B'!$C$5:$I$45,26,7)*(1+'B Supuestos'!$B$12)),0)</f>
        <v>-19389579.265325222</v>
      </c>
    </row>
    <row r="35" spans="1:15" x14ac:dyDescent="0.3">
      <c r="A35" s="39">
        <v>30</v>
      </c>
      <c r="B35" s="31">
        <f>-'B Supuestos'!$B$6*INDEX('Trayectorias B'!$C$5:$I$45,31,1)</f>
        <v>-15380086.877801687</v>
      </c>
      <c r="C35" s="31">
        <f>B35+IF(ISNUMBER(MATCH(30,'B Supuestos'!$D$20:$D$23,0)),INDEX('B Supuestos'!$F$20:$F$23,MATCH(30,'B Supuestos'!$D$20:$D$23,0))*(INDEX('Trayectorias B'!$C$5:$I$45,31,1)-INDEX('Trayectorias B'!$C$5:$I$45,27,1)*(1+'B Supuestos'!$B$12)),0)</f>
        <v>-15380086.877801687</v>
      </c>
      <c r="D35" s="31">
        <f>-'B Supuestos'!$B$6*INDEX('Trayectorias B'!$C$5:$I$45,31,2)</f>
        <v>-19116680.136649735</v>
      </c>
      <c r="E35" s="31">
        <f>D35+IF(ISNUMBER(MATCH(30,'B Supuestos'!$D$20:$D$23,0)),INDEX('B Supuestos'!$F$20:$F$23,MATCH(30,'B Supuestos'!$D$20:$D$23,0))*(INDEX('Trayectorias B'!$C$5:$I$45,31,2)-INDEX('Trayectorias B'!$C$5:$I$45,27,2)*(1+'B Supuestos'!$B$12)),0)</f>
        <v>-19116680.136649735</v>
      </c>
      <c r="F35" s="31">
        <f>-'B Supuestos'!$B$6*INDEX('Trayectorias B'!$C$5:$I$45,31,3)</f>
        <v>-24520495.447758626</v>
      </c>
      <c r="G35" s="31">
        <f>F35+IF(ISNUMBER(MATCH(30,'B Supuestos'!$D$20:$D$23,0)),INDEX('B Supuestos'!$F$20:$F$23,MATCH(30,'B Supuestos'!$D$20:$D$23,0))*(INDEX('Trayectorias B'!$C$5:$I$45,31,3)-INDEX('Trayectorias B'!$C$5:$I$45,27,3)*(1+'B Supuestos'!$B$12)),0)</f>
        <v>-24520495.447758626</v>
      </c>
      <c r="H35" s="31">
        <f>-'B Supuestos'!$B$6*INDEX('Trayectorias B'!$C$5:$I$45,31,4)</f>
        <v>-16776960.415849794</v>
      </c>
      <c r="I35" s="31">
        <f>H35+IF(ISNUMBER(MATCH(30,'B Supuestos'!$D$20:$D$23,0)),INDEX('B Supuestos'!$F$20:$F$23,MATCH(30,'B Supuestos'!$D$20:$D$23,0))*(INDEX('Trayectorias B'!$C$5:$I$45,31,4)-INDEX('Trayectorias B'!$C$5:$I$45,27,4)*(1+'B Supuestos'!$B$12)),0)</f>
        <v>-16776960.415849794</v>
      </c>
      <c r="J35" s="31">
        <f>-'B Supuestos'!$B$6*INDEX('Trayectorias B'!$C$5:$I$45,31,5)</f>
        <v>-24302357.620058581</v>
      </c>
      <c r="K35" s="31">
        <f>J35+IF(ISNUMBER(MATCH(30,'B Supuestos'!$D$20:$D$23,0)),INDEX('B Supuestos'!$F$20:$F$23,MATCH(30,'B Supuestos'!$D$20:$D$23,0))*(INDEX('Trayectorias B'!$C$5:$I$45,31,5)-INDEX('Trayectorias B'!$C$5:$I$45,27,5)*(1+'B Supuestos'!$B$12)),0)</f>
        <v>-24302357.620058581</v>
      </c>
      <c r="L35" s="31">
        <f>-'B Supuestos'!$B$6*INDEX('Trayectorias B'!$C$5:$I$45,31,6)</f>
        <v>-24525418.756625276</v>
      </c>
      <c r="M35" s="31">
        <f>L35+IF(ISNUMBER(MATCH(30,'B Supuestos'!$D$20:$D$23,0)),INDEX('B Supuestos'!$F$20:$F$23,MATCH(30,'B Supuestos'!$D$20:$D$23,0))*(INDEX('Trayectorias B'!$C$5:$I$45,31,6)-INDEX('Trayectorias B'!$C$5:$I$45,27,6)*(1+'B Supuestos'!$B$12)),0)</f>
        <v>-24525418.756625276</v>
      </c>
      <c r="N35" s="31">
        <f>-'B Supuestos'!$B$6*INDEX('Trayectorias B'!$C$5:$I$45,31,7)</f>
        <v>-19481780.822567448</v>
      </c>
      <c r="O35" s="31">
        <f>N35+IF(ISNUMBER(MATCH(30,'B Supuestos'!$D$20:$D$23,0)),INDEX('B Supuestos'!$F$20:$F$23,MATCH(30,'B Supuestos'!$D$20:$D$23,0))*(INDEX('Trayectorias B'!$C$5:$I$45,31,7)-INDEX('Trayectorias B'!$C$5:$I$45,27,7)*(1+'B Supuestos'!$B$12)),0)</f>
        <v>-19481780.822567448</v>
      </c>
    </row>
    <row r="36" spans="1:15" x14ac:dyDescent="0.3">
      <c r="A36" s="39">
        <v>31</v>
      </c>
      <c r="B36" s="31">
        <f>-'B Supuestos'!$B$6*INDEX('Trayectorias B'!$C$5:$I$45,32,1)</f>
        <v>-15719338.461688656</v>
      </c>
      <c r="C36" s="31">
        <f>B36+IF(ISNUMBER(MATCH(31,'B Supuestos'!$D$20:$D$23,0)),INDEX('B Supuestos'!$F$20:$F$23,MATCH(31,'B Supuestos'!$D$20:$D$23,0))*(INDEX('Trayectorias B'!$C$5:$I$45,32,1)-INDEX('Trayectorias B'!$C$5:$I$45,28,1)*(1+'B Supuestos'!$B$12)),0)</f>
        <v>-15719338.461688656</v>
      </c>
      <c r="D36" s="31">
        <f>-'B Supuestos'!$B$6*INDEX('Trayectorias B'!$C$5:$I$45,32,2)</f>
        <v>-19319607.924444836</v>
      </c>
      <c r="E36" s="31">
        <f>D36+IF(ISNUMBER(MATCH(31,'B Supuestos'!$D$20:$D$23,0)),INDEX('B Supuestos'!$F$20:$F$23,MATCH(31,'B Supuestos'!$D$20:$D$23,0))*(INDEX('Trayectorias B'!$C$5:$I$45,32,2)-INDEX('Trayectorias B'!$C$5:$I$45,28,2)*(1+'B Supuestos'!$B$12)),0)</f>
        <v>-19319607.924444836</v>
      </c>
      <c r="F36" s="31">
        <f>-'B Supuestos'!$B$6*INDEX('Trayectorias B'!$C$5:$I$45,32,3)</f>
        <v>-21709652.943597037</v>
      </c>
      <c r="G36" s="31">
        <f>F36+IF(ISNUMBER(MATCH(31,'B Supuestos'!$D$20:$D$23,0)),INDEX('B Supuestos'!$F$20:$F$23,MATCH(31,'B Supuestos'!$D$20:$D$23,0))*(INDEX('Trayectorias B'!$C$5:$I$45,32,3)-INDEX('Trayectorias B'!$C$5:$I$45,28,3)*(1+'B Supuestos'!$B$12)),0)</f>
        <v>-21709652.943597037</v>
      </c>
      <c r="H36" s="31">
        <f>-'B Supuestos'!$B$6*INDEX('Trayectorias B'!$C$5:$I$45,32,4)</f>
        <v>-16020812.934704022</v>
      </c>
      <c r="I36" s="31">
        <f>H36+IF(ISNUMBER(MATCH(31,'B Supuestos'!$D$20:$D$23,0)),INDEX('B Supuestos'!$F$20:$F$23,MATCH(31,'B Supuestos'!$D$20:$D$23,0))*(INDEX('Trayectorias B'!$C$5:$I$45,32,4)-INDEX('Trayectorias B'!$C$5:$I$45,28,4)*(1+'B Supuestos'!$B$12)),0)</f>
        <v>-16020812.934704022</v>
      </c>
      <c r="J36" s="31">
        <f>-'B Supuestos'!$B$6*INDEX('Trayectorias B'!$C$5:$I$45,32,5)</f>
        <v>-23787770.104777966</v>
      </c>
      <c r="K36" s="31">
        <f>J36+IF(ISNUMBER(MATCH(31,'B Supuestos'!$D$20:$D$23,0)),INDEX('B Supuestos'!$F$20:$F$23,MATCH(31,'B Supuestos'!$D$20:$D$23,0))*(INDEX('Trayectorias B'!$C$5:$I$45,32,5)-INDEX('Trayectorias B'!$C$5:$I$45,28,5)*(1+'B Supuestos'!$B$12)),0)</f>
        <v>-23787770.104777966</v>
      </c>
      <c r="L36" s="31">
        <f>-'B Supuestos'!$B$6*INDEX('Trayectorias B'!$C$5:$I$45,32,6)</f>
        <v>-26626340.6019684</v>
      </c>
      <c r="M36" s="31">
        <f>L36+IF(ISNUMBER(MATCH(31,'B Supuestos'!$D$20:$D$23,0)),INDEX('B Supuestos'!$F$20:$F$23,MATCH(31,'B Supuestos'!$D$20:$D$23,0))*(INDEX('Trayectorias B'!$C$5:$I$45,32,6)-INDEX('Trayectorias B'!$C$5:$I$45,28,6)*(1+'B Supuestos'!$B$12)),0)</f>
        <v>-26626340.6019684</v>
      </c>
      <c r="N36" s="31">
        <f>-'B Supuestos'!$B$6*INDEX('Trayectorias B'!$C$5:$I$45,32,7)</f>
        <v>-19574420.817747977</v>
      </c>
      <c r="O36" s="31">
        <f>N36+IF(ISNUMBER(MATCH(31,'B Supuestos'!$D$20:$D$23,0)),INDEX('B Supuestos'!$F$20:$F$23,MATCH(31,'B Supuestos'!$D$20:$D$23,0))*(INDEX('Trayectorias B'!$C$5:$I$45,32,7)-INDEX('Trayectorias B'!$C$5:$I$45,28,7)*(1+'B Supuestos'!$B$12)),0)</f>
        <v>-19574420.817747977</v>
      </c>
    </row>
    <row r="37" spans="1:15" x14ac:dyDescent="0.3">
      <c r="A37" s="39">
        <v>32</v>
      </c>
      <c r="B37" s="31">
        <f>-'B Supuestos'!$B$6*INDEX('Trayectorias B'!$C$5:$I$45,33,1)</f>
        <v>-15530088.88814744</v>
      </c>
      <c r="C37" s="31">
        <f>B37+IF(ISNUMBER(MATCH(32,'B Supuestos'!$D$20:$D$23,0)),INDEX('B Supuestos'!$F$20:$F$23,MATCH(32,'B Supuestos'!$D$20:$D$23,0))*(INDEX('Trayectorias B'!$C$5:$I$45,33,1)-INDEX('Trayectorias B'!$C$5:$I$45,29,1)*(1+'B Supuestos'!$B$12)),0)</f>
        <v>-18720926.490025811</v>
      </c>
      <c r="D37" s="31">
        <f>-'B Supuestos'!$B$6*INDEX('Trayectorias B'!$C$5:$I$45,33,2)</f>
        <v>-17037944.280765813</v>
      </c>
      <c r="E37" s="31">
        <f>D37+IF(ISNUMBER(MATCH(32,'B Supuestos'!$D$20:$D$23,0)),INDEX('B Supuestos'!$F$20:$F$23,MATCH(32,'B Supuestos'!$D$20:$D$23,0))*(INDEX('Trayectorias B'!$C$5:$I$45,33,2)-INDEX('Trayectorias B'!$C$5:$I$45,29,2)*(1+'B Supuestos'!$B$12)),0)</f>
        <v>-27560145.490641028</v>
      </c>
      <c r="F37" s="31">
        <f>-'B Supuestos'!$B$6*INDEX('Trayectorias B'!$C$5:$I$45,33,3)</f>
        <v>-25833332.711930323</v>
      </c>
      <c r="G37" s="31">
        <f>F37+IF(ISNUMBER(MATCH(32,'B Supuestos'!$D$20:$D$23,0)),INDEX('B Supuestos'!$F$20:$F$23,MATCH(32,'B Supuestos'!$D$20:$D$23,0))*(INDEX('Trayectorias B'!$C$5:$I$45,33,3)-INDEX('Trayectorias B'!$C$5:$I$45,29,3)*(1+'B Supuestos'!$B$12)),0)</f>
        <v>-26335982.14893879</v>
      </c>
      <c r="H37" s="31">
        <f>-'B Supuestos'!$B$6*INDEX('Trayectorias B'!$C$5:$I$45,33,4)</f>
        <v>-15149428.818811387</v>
      </c>
      <c r="I37" s="31">
        <f>H37+IF(ISNUMBER(MATCH(32,'B Supuestos'!$D$20:$D$23,0)),INDEX('B Supuestos'!$F$20:$F$23,MATCH(32,'B Supuestos'!$D$20:$D$23,0))*(INDEX('Trayectorias B'!$C$5:$I$45,33,4)-INDEX('Trayectorias B'!$C$5:$I$45,29,4)*(1+'B Supuestos'!$B$12)),0)</f>
        <v>-23025990.037631609</v>
      </c>
      <c r="J37" s="31">
        <f>-'B Supuestos'!$B$6*INDEX('Trayectorias B'!$C$5:$I$45,33,5)</f>
        <v>-23158936.310117088</v>
      </c>
      <c r="K37" s="31">
        <f>J37+IF(ISNUMBER(MATCH(32,'B Supuestos'!$D$20:$D$23,0)),INDEX('B Supuestos'!$F$20:$F$23,MATCH(32,'B Supuestos'!$D$20:$D$23,0))*(INDEX('Trayectorias B'!$C$5:$I$45,33,5)-INDEX('Trayectorias B'!$C$5:$I$45,29,5)*(1+'B Supuestos'!$B$12)),0)</f>
        <v>-25656343.818483699</v>
      </c>
      <c r="L37" s="31">
        <f>-'B Supuestos'!$B$6*INDEX('Trayectorias B'!$C$5:$I$45,33,6)</f>
        <v>-27350797.219993614</v>
      </c>
      <c r="M37" s="31">
        <f>L37+IF(ISNUMBER(MATCH(32,'B Supuestos'!$D$20:$D$23,0)),INDEX('B Supuestos'!$F$20:$F$23,MATCH(32,'B Supuestos'!$D$20:$D$23,0))*(INDEX('Trayectorias B'!$C$5:$I$45,33,6)-INDEX('Trayectorias B'!$C$5:$I$45,29,6)*(1+'B Supuestos'!$B$12)),0)</f>
        <v>-10785076.607116858</v>
      </c>
      <c r="N37" s="31">
        <f>-'B Supuestos'!$B$6*INDEX('Trayectorias B'!$C$5:$I$45,33,7)</f>
        <v>-19667501.335732132</v>
      </c>
      <c r="O37" s="31">
        <f>N37+IF(ISNUMBER(MATCH(32,'B Supuestos'!$D$20:$D$23,0)),INDEX('B Supuestos'!$F$20:$F$23,MATCH(32,'B Supuestos'!$D$20:$D$23,0))*(INDEX('Trayectorias B'!$C$5:$I$45,33,7)-INDEX('Trayectorias B'!$C$5:$I$45,29,7)*(1+'B Supuestos'!$B$12)),0)</f>
        <v>-23257647.992830183</v>
      </c>
    </row>
    <row r="38" spans="1:15" x14ac:dyDescent="0.3">
      <c r="A38" s="39">
        <v>33</v>
      </c>
      <c r="B38" s="31">
        <f>-'B Supuestos'!$B$6*INDEX('Trayectorias B'!$C$5:$I$45,34,1)</f>
        <v>-16890614.970982589</v>
      </c>
      <c r="C38" s="31">
        <f>B38+IF(ISNUMBER(MATCH(33,'B Supuestos'!$D$20:$D$23,0)),INDEX('B Supuestos'!$F$20:$F$23,MATCH(33,'B Supuestos'!$D$20:$D$23,0))*(INDEX('Trayectorias B'!$C$5:$I$45,34,1)-INDEX('Trayectorias B'!$C$5:$I$45,30,1)*(1+'B Supuestos'!$B$12)),0)</f>
        <v>-16890614.970982589</v>
      </c>
      <c r="D38" s="31">
        <f>-'B Supuestos'!$B$6*INDEX('Trayectorias B'!$C$5:$I$45,34,2)</f>
        <v>-16414075.437625458</v>
      </c>
      <c r="E38" s="31">
        <f>D38+IF(ISNUMBER(MATCH(33,'B Supuestos'!$D$20:$D$23,0)),INDEX('B Supuestos'!$F$20:$F$23,MATCH(33,'B Supuestos'!$D$20:$D$23,0))*(INDEX('Trayectorias B'!$C$5:$I$45,34,2)-INDEX('Trayectorias B'!$C$5:$I$45,30,2)*(1+'B Supuestos'!$B$12)),0)</f>
        <v>-16414075.437625458</v>
      </c>
      <c r="F38" s="31">
        <f>-'B Supuestos'!$B$6*INDEX('Trayectorias B'!$C$5:$I$45,34,3)</f>
        <v>-24878829.084212102</v>
      </c>
      <c r="G38" s="31">
        <f>F38+IF(ISNUMBER(MATCH(33,'B Supuestos'!$D$20:$D$23,0)),INDEX('B Supuestos'!$F$20:$F$23,MATCH(33,'B Supuestos'!$D$20:$D$23,0))*(INDEX('Trayectorias B'!$C$5:$I$45,34,3)-INDEX('Trayectorias B'!$C$5:$I$45,30,3)*(1+'B Supuestos'!$B$12)),0)</f>
        <v>-24878829.084212102</v>
      </c>
      <c r="H38" s="31">
        <f>-'B Supuestos'!$B$6*INDEX('Trayectorias B'!$C$5:$I$45,34,4)</f>
        <v>-16276067.907240586</v>
      </c>
      <c r="I38" s="31">
        <f>H38+IF(ISNUMBER(MATCH(33,'B Supuestos'!$D$20:$D$23,0)),INDEX('B Supuestos'!$F$20:$F$23,MATCH(33,'B Supuestos'!$D$20:$D$23,0))*(INDEX('Trayectorias B'!$C$5:$I$45,34,4)-INDEX('Trayectorias B'!$C$5:$I$45,30,4)*(1+'B Supuestos'!$B$12)),0)</f>
        <v>-16276067.907240586</v>
      </c>
      <c r="J38" s="31">
        <f>-'B Supuestos'!$B$6*INDEX('Trayectorias B'!$C$5:$I$45,34,5)</f>
        <v>-22558090.570073485</v>
      </c>
      <c r="K38" s="31">
        <f>J38+IF(ISNUMBER(MATCH(33,'B Supuestos'!$D$20:$D$23,0)),INDEX('B Supuestos'!$F$20:$F$23,MATCH(33,'B Supuestos'!$D$20:$D$23,0))*(INDEX('Trayectorias B'!$C$5:$I$45,34,5)-INDEX('Trayectorias B'!$C$5:$I$45,30,5)*(1+'B Supuestos'!$B$12)),0)</f>
        <v>-22558090.570073485</v>
      </c>
      <c r="L38" s="31">
        <f>-'B Supuestos'!$B$6*INDEX('Trayectorias B'!$C$5:$I$45,34,6)</f>
        <v>-26062841.674368851</v>
      </c>
      <c r="M38" s="31">
        <f>L38+IF(ISNUMBER(MATCH(33,'B Supuestos'!$D$20:$D$23,0)),INDEX('B Supuestos'!$F$20:$F$23,MATCH(33,'B Supuestos'!$D$20:$D$23,0))*(INDEX('Trayectorias B'!$C$5:$I$45,34,6)-INDEX('Trayectorias B'!$C$5:$I$45,30,6)*(1+'B Supuestos'!$B$12)),0)</f>
        <v>-26062841.674368851</v>
      </c>
      <c r="N38" s="31">
        <f>-'B Supuestos'!$B$6*INDEX('Trayectorias B'!$C$5:$I$45,34,7)</f>
        <v>-19761024.471299127</v>
      </c>
      <c r="O38" s="31">
        <f>N38+IF(ISNUMBER(MATCH(33,'B Supuestos'!$D$20:$D$23,0)),INDEX('B Supuestos'!$F$20:$F$23,MATCH(33,'B Supuestos'!$D$20:$D$23,0))*(INDEX('Trayectorias B'!$C$5:$I$45,34,7)-INDEX('Trayectorias B'!$C$5:$I$45,30,7)*(1+'B Supuestos'!$B$12)),0)</f>
        <v>-19761024.471299127</v>
      </c>
    </row>
    <row r="39" spans="1:15" x14ac:dyDescent="0.3">
      <c r="A39" s="39">
        <v>34</v>
      </c>
      <c r="B39" s="31">
        <f>-'B Supuestos'!$B$6*INDEX('Trayectorias B'!$C$5:$I$45,35,1)</f>
        <v>-16872114.041303672</v>
      </c>
      <c r="C39" s="31">
        <f>B39+IF(ISNUMBER(MATCH(34,'B Supuestos'!$D$20:$D$23,0)),INDEX('B Supuestos'!$F$20:$F$23,MATCH(34,'B Supuestos'!$D$20:$D$23,0))*(INDEX('Trayectorias B'!$C$5:$I$45,35,1)-INDEX('Trayectorias B'!$C$5:$I$45,31,1)*(1+'B Supuestos'!$B$12)),0)</f>
        <v>-16872114.041303672</v>
      </c>
      <c r="D39" s="31">
        <f>-'B Supuestos'!$B$6*INDEX('Trayectorias B'!$C$5:$I$45,35,2)</f>
        <v>-17022471.570224211</v>
      </c>
      <c r="E39" s="31">
        <f>D39+IF(ISNUMBER(MATCH(34,'B Supuestos'!$D$20:$D$23,0)),INDEX('B Supuestos'!$F$20:$F$23,MATCH(34,'B Supuestos'!$D$20:$D$23,0))*(INDEX('Trayectorias B'!$C$5:$I$45,35,2)-INDEX('Trayectorias B'!$C$5:$I$45,31,2)*(1+'B Supuestos'!$B$12)),0)</f>
        <v>-17022471.570224211</v>
      </c>
      <c r="F39" s="31">
        <f>-'B Supuestos'!$B$6*INDEX('Trayectorias B'!$C$5:$I$45,35,3)</f>
        <v>-23444824.657488726</v>
      </c>
      <c r="G39" s="31">
        <f>F39+IF(ISNUMBER(MATCH(34,'B Supuestos'!$D$20:$D$23,0)),INDEX('B Supuestos'!$F$20:$F$23,MATCH(34,'B Supuestos'!$D$20:$D$23,0))*(INDEX('Trayectorias B'!$C$5:$I$45,35,3)-INDEX('Trayectorias B'!$C$5:$I$45,31,3)*(1+'B Supuestos'!$B$12)),0)</f>
        <v>-23444824.657488726</v>
      </c>
      <c r="H39" s="31">
        <f>-'B Supuestos'!$B$6*INDEX('Trayectorias B'!$C$5:$I$45,35,4)</f>
        <v>-15213035.813597942</v>
      </c>
      <c r="I39" s="31">
        <f>H39+IF(ISNUMBER(MATCH(34,'B Supuestos'!$D$20:$D$23,0)),INDEX('B Supuestos'!$F$20:$F$23,MATCH(34,'B Supuestos'!$D$20:$D$23,0))*(INDEX('Trayectorias B'!$C$5:$I$45,35,4)-INDEX('Trayectorias B'!$C$5:$I$45,31,4)*(1+'B Supuestos'!$B$12)),0)</f>
        <v>-15213035.813597942</v>
      </c>
      <c r="J39" s="31">
        <f>-'B Supuestos'!$B$6*INDEX('Trayectorias B'!$C$5:$I$45,35,5)</f>
        <v>-24282695.547950465</v>
      </c>
      <c r="K39" s="31">
        <f>J39+IF(ISNUMBER(MATCH(34,'B Supuestos'!$D$20:$D$23,0)),INDEX('B Supuestos'!$F$20:$F$23,MATCH(34,'B Supuestos'!$D$20:$D$23,0))*(INDEX('Trayectorias B'!$C$5:$I$45,35,5)-INDEX('Trayectorias B'!$C$5:$I$45,31,5)*(1+'B Supuestos'!$B$12)),0)</f>
        <v>-24282695.547950465</v>
      </c>
      <c r="L39" s="31">
        <f>-'B Supuestos'!$B$6*INDEX('Trayectorias B'!$C$5:$I$45,35,6)</f>
        <v>-23656087.132066544</v>
      </c>
      <c r="M39" s="31">
        <f>L39+IF(ISNUMBER(MATCH(34,'B Supuestos'!$D$20:$D$23,0)),INDEX('B Supuestos'!$F$20:$F$23,MATCH(34,'B Supuestos'!$D$20:$D$23,0))*(INDEX('Trayectorias B'!$C$5:$I$45,35,6)-INDEX('Trayectorias B'!$C$5:$I$45,31,6)*(1+'B Supuestos'!$B$12)),0)</f>
        <v>-23656087.132066544</v>
      </c>
      <c r="N39" s="31">
        <f>-'B Supuestos'!$B$6*INDEX('Trayectorias B'!$C$5:$I$45,35,7)</f>
        <v>-19854992.329189382</v>
      </c>
      <c r="O39" s="31">
        <f>N39+IF(ISNUMBER(MATCH(34,'B Supuestos'!$D$20:$D$23,0)),INDEX('B Supuestos'!$F$20:$F$23,MATCH(34,'B Supuestos'!$D$20:$D$23,0))*(INDEX('Trayectorias B'!$C$5:$I$45,35,7)-INDEX('Trayectorias B'!$C$5:$I$45,31,7)*(1+'B Supuestos'!$B$12)),0)</f>
        <v>-19854992.329189382</v>
      </c>
    </row>
    <row r="40" spans="1:15" x14ac:dyDescent="0.3">
      <c r="A40" s="39">
        <v>35</v>
      </c>
      <c r="B40" s="31">
        <f>-'B Supuestos'!$B$6*INDEX('Trayectorias B'!$C$5:$I$45,36,1)</f>
        <v>-16585698.293325223</v>
      </c>
      <c r="C40" s="31">
        <f>B40+IF(ISNUMBER(MATCH(35,'B Supuestos'!$D$20:$D$23,0)),INDEX('B Supuestos'!$F$20:$F$23,MATCH(35,'B Supuestos'!$D$20:$D$23,0))*(INDEX('Trayectorias B'!$C$5:$I$45,36,1)-INDEX('Trayectorias B'!$C$5:$I$45,32,1)*(1+'B Supuestos'!$B$12)),0)</f>
        <v>-16585698.293325223</v>
      </c>
      <c r="D40" s="31">
        <f>-'B Supuestos'!$B$6*INDEX('Trayectorias B'!$C$5:$I$45,36,2)</f>
        <v>-17185056.860745646</v>
      </c>
      <c r="E40" s="31">
        <f>D40+IF(ISNUMBER(MATCH(35,'B Supuestos'!$D$20:$D$23,0)),INDEX('B Supuestos'!$F$20:$F$23,MATCH(35,'B Supuestos'!$D$20:$D$23,0))*(INDEX('Trayectorias B'!$C$5:$I$45,36,2)-INDEX('Trayectorias B'!$C$5:$I$45,32,2)*(1+'B Supuestos'!$B$12)),0)</f>
        <v>-17185056.860745646</v>
      </c>
      <c r="F40" s="31">
        <f>-'B Supuestos'!$B$6*INDEX('Trayectorias B'!$C$5:$I$45,36,3)</f>
        <v>-26036411.725464508</v>
      </c>
      <c r="G40" s="31">
        <f>F40+IF(ISNUMBER(MATCH(35,'B Supuestos'!$D$20:$D$23,0)),INDEX('B Supuestos'!$F$20:$F$23,MATCH(35,'B Supuestos'!$D$20:$D$23,0))*(INDEX('Trayectorias B'!$C$5:$I$45,36,3)-INDEX('Trayectorias B'!$C$5:$I$45,32,3)*(1+'B Supuestos'!$B$12)),0)</f>
        <v>-26036411.725464508</v>
      </c>
      <c r="H40" s="31">
        <f>-'B Supuestos'!$B$6*INDEX('Trayectorias B'!$C$5:$I$45,36,4)</f>
        <v>-16765613.872371364</v>
      </c>
      <c r="I40" s="31">
        <f>H40+IF(ISNUMBER(MATCH(35,'B Supuestos'!$D$20:$D$23,0)),INDEX('B Supuestos'!$F$20:$F$23,MATCH(35,'B Supuestos'!$D$20:$D$23,0))*(INDEX('Trayectorias B'!$C$5:$I$45,36,4)-INDEX('Trayectorias B'!$C$5:$I$45,32,4)*(1+'B Supuestos'!$B$12)),0)</f>
        <v>-16765613.872371364</v>
      </c>
      <c r="J40" s="31">
        <f>-'B Supuestos'!$B$6*INDEX('Trayectorias B'!$C$5:$I$45,36,5)</f>
        <v>-24512399.041598156</v>
      </c>
      <c r="K40" s="31">
        <f>J40+IF(ISNUMBER(MATCH(35,'B Supuestos'!$D$20:$D$23,0)),INDEX('B Supuestos'!$F$20:$F$23,MATCH(35,'B Supuestos'!$D$20:$D$23,0))*(INDEX('Trayectorias B'!$C$5:$I$45,36,5)-INDEX('Trayectorias B'!$C$5:$I$45,32,5)*(1+'B Supuestos'!$B$12)),0)</f>
        <v>-24512399.041598156</v>
      </c>
      <c r="L40" s="31">
        <f>-'B Supuestos'!$B$6*INDEX('Trayectorias B'!$C$5:$I$45,36,6)</f>
        <v>-24895934.818178147</v>
      </c>
      <c r="M40" s="31">
        <f>L40+IF(ISNUMBER(MATCH(35,'B Supuestos'!$D$20:$D$23,0)),INDEX('B Supuestos'!$F$20:$F$23,MATCH(35,'B Supuestos'!$D$20:$D$23,0))*(INDEX('Trayectorias B'!$C$5:$I$45,36,6)-INDEX('Trayectorias B'!$C$5:$I$45,32,6)*(1+'B Supuestos'!$B$12)),0)</f>
        <v>-24895934.818178147</v>
      </c>
      <c r="N40" s="31">
        <f>-'B Supuestos'!$B$6*INDEX('Trayectorias B'!$C$5:$I$45,36,7)</f>
        <v>-19949407.024151705</v>
      </c>
      <c r="O40" s="31">
        <f>N40+IF(ISNUMBER(MATCH(35,'B Supuestos'!$D$20:$D$23,0)),INDEX('B Supuestos'!$F$20:$F$23,MATCH(35,'B Supuestos'!$D$20:$D$23,0))*(INDEX('Trayectorias B'!$C$5:$I$45,36,7)-INDEX('Trayectorias B'!$C$5:$I$45,32,7)*(1+'B Supuestos'!$B$12)),0)</f>
        <v>-19949407.024151705</v>
      </c>
    </row>
    <row r="41" spans="1:15" x14ac:dyDescent="0.3">
      <c r="A41" s="39">
        <v>36</v>
      </c>
      <c r="B41" s="31">
        <f>-'B Supuestos'!$B$6*INDEX('Trayectorias B'!$C$5:$I$45,37,1)</f>
        <v>-16589889.030274549</v>
      </c>
      <c r="C41" s="31">
        <f>B41+IF(ISNUMBER(MATCH(36,'B Supuestos'!$D$20:$D$23,0)),INDEX('B Supuestos'!$F$20:$F$23,MATCH(36,'B Supuestos'!$D$20:$D$23,0))*(INDEX('Trayectorias B'!$C$5:$I$45,37,1)-INDEX('Trayectorias B'!$C$5:$I$45,33,1)*(1+'B Supuestos'!$B$12)),0)</f>
        <v>-17192218.735755268</v>
      </c>
      <c r="D41" s="31">
        <f>-'B Supuestos'!$B$6*INDEX('Trayectorias B'!$C$5:$I$45,37,2)</f>
        <v>-18120688.190529209</v>
      </c>
      <c r="E41" s="31">
        <f>D41+IF(ISNUMBER(MATCH(36,'B Supuestos'!$D$20:$D$23,0)),INDEX('B Supuestos'!$F$20:$F$23,MATCH(36,'B Supuestos'!$D$20:$D$23,0))*(INDEX('Trayectorias B'!$C$5:$I$45,37,2)-INDEX('Trayectorias B'!$C$5:$I$45,33,2)*(1+'B Supuestos'!$B$12)),0)</f>
        <v>-19021364.283700604</v>
      </c>
      <c r="F41" s="31">
        <f>-'B Supuestos'!$B$6*INDEX('Trayectorias B'!$C$5:$I$45,37,3)</f>
        <v>-27702679.580045477</v>
      </c>
      <c r="G41" s="31">
        <f>F41+IF(ISNUMBER(MATCH(36,'B Supuestos'!$D$20:$D$23,0)),INDEX('B Supuestos'!$F$20:$F$23,MATCH(36,'B Supuestos'!$D$20:$D$23,0))*(INDEX('Trayectorias B'!$C$5:$I$45,37,3)-INDEX('Trayectorias B'!$C$5:$I$45,33,3)*(1+'B Supuestos'!$B$12)),0)</f>
        <v>-28385310.80808631</v>
      </c>
      <c r="H41" s="31">
        <f>-'B Supuestos'!$B$6*INDEX('Trayectorias B'!$C$5:$I$45,37,4)</f>
        <v>-16782280.547943424</v>
      </c>
      <c r="I41" s="31">
        <f>H41+IF(ISNUMBER(MATCH(36,'B Supuestos'!$D$20:$D$23,0)),INDEX('B Supuestos'!$F$20:$F$23,MATCH(36,'B Supuestos'!$D$20:$D$23,0))*(INDEX('Trayectorias B'!$C$5:$I$45,37,4)-INDEX('Trayectorias B'!$C$5:$I$45,33,4)*(1+'B Supuestos'!$B$12)),0)</f>
        <v>-15572761.003371149</v>
      </c>
      <c r="J41" s="31">
        <f>-'B Supuestos'!$B$6*INDEX('Trayectorias B'!$C$5:$I$45,37,5)</f>
        <v>-25321181.613706391</v>
      </c>
      <c r="K41" s="31">
        <f>J41+IF(ISNUMBER(MATCH(36,'B Supuestos'!$D$20:$D$23,0)),INDEX('B Supuestos'!$F$20:$F$23,MATCH(36,'B Supuestos'!$D$20:$D$23,0))*(INDEX('Trayectorias B'!$C$5:$I$45,37,5)-INDEX('Trayectorias B'!$C$5:$I$45,33,5)*(1+'B Supuestos'!$B$12)),0)</f>
        <v>-24473875.579781346</v>
      </c>
      <c r="L41" s="31">
        <f>-'B Supuestos'!$B$6*INDEX('Trayectorias B'!$C$5:$I$45,37,6)</f>
        <v>-27693456.554633003</v>
      </c>
      <c r="M41" s="31">
        <f>L41+IF(ISNUMBER(MATCH(36,'B Supuestos'!$D$20:$D$23,0)),INDEX('B Supuestos'!$F$20:$F$23,MATCH(36,'B Supuestos'!$D$20:$D$23,0))*(INDEX('Trayectorias B'!$C$5:$I$45,37,6)-INDEX('Trayectorias B'!$C$5:$I$45,33,6)*(1+'B Supuestos'!$B$12)),0)</f>
        <v>-33325667.988280691</v>
      </c>
      <c r="N41" s="31">
        <f>-'B Supuestos'!$B$6*INDEX('Trayectorias B'!$C$5:$I$45,37,7)</f>
        <v>-20044270.680991087</v>
      </c>
      <c r="O41" s="31">
        <f>N41+IF(ISNUMBER(MATCH(36,'B Supuestos'!$D$20:$D$23,0)),INDEX('B Supuestos'!$F$20:$F$23,MATCH(36,'B Supuestos'!$D$20:$D$23,0))*(INDEX('Trayectorias B'!$C$5:$I$45,37,7)-INDEX('Trayectorias B'!$C$5:$I$45,33,7)*(1+'B Supuestos'!$B$12)),0)</f>
        <v>-23703193.599103998</v>
      </c>
    </row>
    <row r="42" spans="1:15" x14ac:dyDescent="0.3">
      <c r="A42" s="39">
        <v>37</v>
      </c>
      <c r="B42" s="31">
        <f>-'B Supuestos'!$B$6*INDEX('Trayectorias B'!$C$5:$I$45,38,1)</f>
        <v>-16355873.276400203</v>
      </c>
      <c r="C42" s="31">
        <f>B42+IF(ISNUMBER(MATCH(37,'B Supuestos'!$D$20:$D$23,0)),INDEX('B Supuestos'!$F$20:$F$23,MATCH(37,'B Supuestos'!$D$20:$D$23,0))*(INDEX('Trayectorias B'!$C$5:$I$45,38,1)-INDEX('Trayectorias B'!$C$5:$I$45,34,1)*(1+'B Supuestos'!$B$12)),0)</f>
        <v>-16355873.276400203</v>
      </c>
      <c r="D42" s="31">
        <f>-'B Supuestos'!$B$6*INDEX('Trayectorias B'!$C$5:$I$45,38,2)</f>
        <v>-18760026.484659191</v>
      </c>
      <c r="E42" s="31">
        <f>D42+IF(ISNUMBER(MATCH(37,'B Supuestos'!$D$20:$D$23,0)),INDEX('B Supuestos'!$F$20:$F$23,MATCH(37,'B Supuestos'!$D$20:$D$23,0))*(INDEX('Trayectorias B'!$C$5:$I$45,38,2)-INDEX('Trayectorias B'!$C$5:$I$45,34,2)*(1+'B Supuestos'!$B$12)),0)</f>
        <v>-18760026.484659191</v>
      </c>
      <c r="F42" s="31">
        <f>-'B Supuestos'!$B$6*INDEX('Trayectorias B'!$C$5:$I$45,38,3)</f>
        <v>-26272170.383587766</v>
      </c>
      <c r="G42" s="31">
        <f>F42+IF(ISNUMBER(MATCH(37,'B Supuestos'!$D$20:$D$23,0)),INDEX('B Supuestos'!$F$20:$F$23,MATCH(37,'B Supuestos'!$D$20:$D$23,0))*(INDEX('Trayectorias B'!$C$5:$I$45,38,3)-INDEX('Trayectorias B'!$C$5:$I$45,34,3)*(1+'B Supuestos'!$B$12)),0)</f>
        <v>-26272170.383587766</v>
      </c>
      <c r="H42" s="31">
        <f>-'B Supuestos'!$B$6*INDEX('Trayectorias B'!$C$5:$I$45,38,4)</f>
        <v>-16887916.703591868</v>
      </c>
      <c r="I42" s="31">
        <f>H42+IF(ISNUMBER(MATCH(37,'B Supuestos'!$D$20:$D$23,0)),INDEX('B Supuestos'!$F$20:$F$23,MATCH(37,'B Supuestos'!$D$20:$D$23,0))*(INDEX('Trayectorias B'!$C$5:$I$45,38,4)-INDEX('Trayectorias B'!$C$5:$I$45,34,4)*(1+'B Supuestos'!$B$12)),0)</f>
        <v>-16887916.703591868</v>
      </c>
      <c r="J42" s="31">
        <f>-'B Supuestos'!$B$6*INDEX('Trayectorias B'!$C$5:$I$45,38,5)</f>
        <v>-19014135.985296465</v>
      </c>
      <c r="K42" s="31">
        <f>J42+IF(ISNUMBER(MATCH(37,'B Supuestos'!$D$20:$D$23,0)),INDEX('B Supuestos'!$F$20:$F$23,MATCH(37,'B Supuestos'!$D$20:$D$23,0))*(INDEX('Trayectorias B'!$C$5:$I$45,38,5)-INDEX('Trayectorias B'!$C$5:$I$45,34,5)*(1+'B Supuestos'!$B$12)),0)</f>
        <v>-19014135.985296465</v>
      </c>
      <c r="L42" s="31">
        <f>-'B Supuestos'!$B$6*INDEX('Trayectorias B'!$C$5:$I$45,38,6)</f>
        <v>-31749431.81580976</v>
      </c>
      <c r="M42" s="31">
        <f>L42+IF(ISNUMBER(MATCH(37,'B Supuestos'!$D$20:$D$23,0)),INDEX('B Supuestos'!$F$20:$F$23,MATCH(37,'B Supuestos'!$D$20:$D$23,0))*(INDEX('Trayectorias B'!$C$5:$I$45,38,6)-INDEX('Trayectorias B'!$C$5:$I$45,34,6)*(1+'B Supuestos'!$B$12)),0)</f>
        <v>-31749431.81580976</v>
      </c>
      <c r="N42" s="31">
        <f>-'B Supuestos'!$B$6*INDEX('Trayectorias B'!$C$5:$I$45,38,7)</f>
        <v>-20139585.434616346</v>
      </c>
      <c r="O42" s="31">
        <f>N42+IF(ISNUMBER(MATCH(37,'B Supuestos'!$D$20:$D$23,0)),INDEX('B Supuestos'!$F$20:$F$23,MATCH(37,'B Supuestos'!$D$20:$D$23,0))*(INDEX('Trayectorias B'!$C$5:$I$45,38,7)-INDEX('Trayectorias B'!$C$5:$I$45,34,7)*(1+'B Supuestos'!$B$12)),0)</f>
        <v>-20139585.434616346</v>
      </c>
    </row>
    <row r="43" spans="1:15" x14ac:dyDescent="0.3">
      <c r="A43" s="39">
        <v>38</v>
      </c>
      <c r="B43" s="31">
        <f>-'B Supuestos'!$B$6*INDEX('Trayectorias B'!$C$5:$I$45,39,1)</f>
        <v>-16586869.112925487</v>
      </c>
      <c r="C43" s="31">
        <f>B43+IF(ISNUMBER(MATCH(38,'B Supuestos'!$D$20:$D$23,0)),INDEX('B Supuestos'!$F$20:$F$23,MATCH(38,'B Supuestos'!$D$20:$D$23,0))*(INDEX('Trayectorias B'!$C$5:$I$45,39,1)-INDEX('Trayectorias B'!$C$5:$I$45,35,1)*(1+'B Supuestos'!$B$12)),0)</f>
        <v>-16586869.112925487</v>
      </c>
      <c r="D43" s="31">
        <f>-'B Supuestos'!$B$6*INDEX('Trayectorias B'!$C$5:$I$45,39,2)</f>
        <v>-19524507.834380068</v>
      </c>
      <c r="E43" s="31">
        <f>D43+IF(ISNUMBER(MATCH(38,'B Supuestos'!$D$20:$D$23,0)),INDEX('B Supuestos'!$F$20:$F$23,MATCH(38,'B Supuestos'!$D$20:$D$23,0))*(INDEX('Trayectorias B'!$C$5:$I$45,39,2)-INDEX('Trayectorias B'!$C$5:$I$45,35,2)*(1+'B Supuestos'!$B$12)),0)</f>
        <v>-19524507.834380068</v>
      </c>
      <c r="F43" s="31">
        <f>-'B Supuestos'!$B$6*INDEX('Trayectorias B'!$C$5:$I$45,39,3)</f>
        <v>-29470582.918493576</v>
      </c>
      <c r="G43" s="31">
        <f>F43+IF(ISNUMBER(MATCH(38,'B Supuestos'!$D$20:$D$23,0)),INDEX('B Supuestos'!$F$20:$F$23,MATCH(38,'B Supuestos'!$D$20:$D$23,0))*(INDEX('Trayectorias B'!$C$5:$I$45,39,3)-INDEX('Trayectorias B'!$C$5:$I$45,35,3)*(1+'B Supuestos'!$B$12)),0)</f>
        <v>-29470582.918493576</v>
      </c>
      <c r="H43" s="31">
        <f>-'B Supuestos'!$B$6*INDEX('Trayectorias B'!$C$5:$I$45,39,4)</f>
        <v>-16168285.911332715</v>
      </c>
      <c r="I43" s="31">
        <f>H43+IF(ISNUMBER(MATCH(38,'B Supuestos'!$D$20:$D$23,0)),INDEX('B Supuestos'!$F$20:$F$23,MATCH(38,'B Supuestos'!$D$20:$D$23,0))*(INDEX('Trayectorias B'!$C$5:$I$45,39,4)-INDEX('Trayectorias B'!$C$5:$I$45,35,4)*(1+'B Supuestos'!$B$12)),0)</f>
        <v>-16168285.911332715</v>
      </c>
      <c r="J43" s="31">
        <f>-'B Supuestos'!$B$6*INDEX('Trayectorias B'!$C$5:$I$45,39,5)</f>
        <v>-22638968.983285584</v>
      </c>
      <c r="K43" s="31">
        <f>J43+IF(ISNUMBER(MATCH(38,'B Supuestos'!$D$20:$D$23,0)),INDEX('B Supuestos'!$F$20:$F$23,MATCH(38,'B Supuestos'!$D$20:$D$23,0))*(INDEX('Trayectorias B'!$C$5:$I$45,39,5)-INDEX('Trayectorias B'!$C$5:$I$45,35,5)*(1+'B Supuestos'!$B$12)),0)</f>
        <v>-22638968.983285584</v>
      </c>
      <c r="L43" s="31">
        <f>-'B Supuestos'!$B$6*INDEX('Trayectorias B'!$C$5:$I$45,39,6)</f>
        <v>-29904872.108247306</v>
      </c>
      <c r="M43" s="31">
        <f>L43+IF(ISNUMBER(MATCH(38,'B Supuestos'!$D$20:$D$23,0)),INDEX('B Supuestos'!$F$20:$F$23,MATCH(38,'B Supuestos'!$D$20:$D$23,0))*(INDEX('Trayectorias B'!$C$5:$I$45,39,6)-INDEX('Trayectorias B'!$C$5:$I$45,35,6)*(1+'B Supuestos'!$B$12)),0)</f>
        <v>-29904872.108247306</v>
      </c>
      <c r="N43" s="31">
        <f>-'B Supuestos'!$B$6*INDEX('Trayectorias B'!$C$5:$I$45,39,7)</f>
        <v>-20235353.430088267</v>
      </c>
      <c r="O43" s="31">
        <f>N43+IF(ISNUMBER(MATCH(38,'B Supuestos'!$D$20:$D$23,0)),INDEX('B Supuestos'!$F$20:$F$23,MATCH(38,'B Supuestos'!$D$20:$D$23,0))*(INDEX('Trayectorias B'!$C$5:$I$45,39,7)-INDEX('Trayectorias B'!$C$5:$I$45,35,7)*(1+'B Supuestos'!$B$12)),0)</f>
        <v>-20235353.430088267</v>
      </c>
    </row>
    <row r="44" spans="1:15" x14ac:dyDescent="0.3">
      <c r="A44" s="39">
        <v>39</v>
      </c>
      <c r="B44" s="31">
        <f>-'B Supuestos'!$B$6*INDEX('Trayectorias B'!$C$5:$I$45,40,1)</f>
        <v>-15748156.268262275</v>
      </c>
      <c r="C44" s="31">
        <f>B44+IF(ISNUMBER(MATCH(39,'B Supuestos'!$D$20:$D$23,0)),INDEX('B Supuestos'!$F$20:$F$23,MATCH(39,'B Supuestos'!$D$20:$D$23,0))*(INDEX('Trayectorias B'!$C$5:$I$45,40,1)-INDEX('Trayectorias B'!$C$5:$I$45,36,1)*(1+'B Supuestos'!$B$12)),0)</f>
        <v>-15748156.268262275</v>
      </c>
      <c r="D44" s="31">
        <f>-'B Supuestos'!$B$6*INDEX('Trayectorias B'!$C$5:$I$45,40,2)</f>
        <v>-20156733.377124764</v>
      </c>
      <c r="E44" s="31">
        <f>D44+IF(ISNUMBER(MATCH(39,'B Supuestos'!$D$20:$D$23,0)),INDEX('B Supuestos'!$F$20:$F$23,MATCH(39,'B Supuestos'!$D$20:$D$23,0))*(INDEX('Trayectorias B'!$C$5:$I$45,40,2)-INDEX('Trayectorias B'!$C$5:$I$45,36,2)*(1+'B Supuestos'!$B$12)),0)</f>
        <v>-20156733.377124764</v>
      </c>
      <c r="F44" s="31">
        <f>-'B Supuestos'!$B$6*INDEX('Trayectorias B'!$C$5:$I$45,40,3)</f>
        <v>-29696691.251157083</v>
      </c>
      <c r="G44" s="31">
        <f>F44+IF(ISNUMBER(MATCH(39,'B Supuestos'!$D$20:$D$23,0)),INDEX('B Supuestos'!$F$20:$F$23,MATCH(39,'B Supuestos'!$D$20:$D$23,0))*(INDEX('Trayectorias B'!$C$5:$I$45,40,3)-INDEX('Trayectorias B'!$C$5:$I$45,36,3)*(1+'B Supuestos'!$B$12)),0)</f>
        <v>-29696691.251157083</v>
      </c>
      <c r="H44" s="31">
        <f>-'B Supuestos'!$B$6*INDEX('Trayectorias B'!$C$5:$I$45,40,4)</f>
        <v>-15871790.428057425</v>
      </c>
      <c r="I44" s="31">
        <f>H44+IF(ISNUMBER(MATCH(39,'B Supuestos'!$D$20:$D$23,0)),INDEX('B Supuestos'!$F$20:$F$23,MATCH(39,'B Supuestos'!$D$20:$D$23,0))*(INDEX('Trayectorias B'!$C$5:$I$45,40,4)-INDEX('Trayectorias B'!$C$5:$I$45,36,4)*(1+'B Supuestos'!$B$12)),0)</f>
        <v>-15871790.428057425</v>
      </c>
      <c r="J44" s="31">
        <f>-'B Supuestos'!$B$6*INDEX('Trayectorias B'!$C$5:$I$45,40,5)</f>
        <v>-22187150.523502856</v>
      </c>
      <c r="K44" s="31">
        <f>J44+IF(ISNUMBER(MATCH(39,'B Supuestos'!$D$20:$D$23,0)),INDEX('B Supuestos'!$F$20:$F$23,MATCH(39,'B Supuestos'!$D$20:$D$23,0))*(INDEX('Trayectorias B'!$C$5:$I$45,40,5)-INDEX('Trayectorias B'!$C$5:$I$45,36,5)*(1+'B Supuestos'!$B$12)),0)</f>
        <v>-22187150.523502856</v>
      </c>
      <c r="L44" s="31">
        <f>-'B Supuestos'!$B$6*INDEX('Trayectorias B'!$C$5:$I$45,40,6)</f>
        <v>-29330563.056713909</v>
      </c>
      <c r="M44" s="31">
        <f>L44+IF(ISNUMBER(MATCH(39,'B Supuestos'!$D$20:$D$23,0)),INDEX('B Supuestos'!$F$20:$F$23,MATCH(39,'B Supuestos'!$D$20:$D$23,0))*(INDEX('Trayectorias B'!$C$5:$I$45,40,6)-INDEX('Trayectorias B'!$C$5:$I$45,36,6)*(1+'B Supuestos'!$B$12)),0)</f>
        <v>-29330563.056713909</v>
      </c>
      <c r="N44" s="31">
        <f>-'B Supuestos'!$B$6*INDEX('Trayectorias B'!$C$5:$I$45,40,7)</f>
        <v>-20331576.822667856</v>
      </c>
      <c r="O44" s="31">
        <f>N44+IF(ISNUMBER(MATCH(39,'B Supuestos'!$D$20:$D$23,0)),INDEX('B Supuestos'!$F$20:$F$23,MATCH(39,'B Supuestos'!$D$20:$D$23,0))*(INDEX('Trayectorias B'!$C$5:$I$45,40,7)-INDEX('Trayectorias B'!$C$5:$I$45,36,7)*(1+'B Supuestos'!$B$12)),0)</f>
        <v>-20331576.822667856</v>
      </c>
    </row>
    <row r="45" spans="1:15" x14ac:dyDescent="0.3">
      <c r="A45" s="39">
        <v>40</v>
      </c>
      <c r="B45" s="31">
        <f>-'B Supuestos'!$B$6*INDEX('Trayectorias B'!$C$5:$I$45,41,1)</f>
        <v>-14885319.957113542</v>
      </c>
      <c r="C45" s="31">
        <f>B45+IF(ISNUMBER(MATCH(40,'B Supuestos'!$D$20:$D$23,0)),INDEX('B Supuestos'!$F$20:$F$23,MATCH(40,'B Supuestos'!$D$20:$D$23,0))*(INDEX('Trayectorias B'!$C$5:$I$45,41,1)-INDEX('Trayectorias B'!$C$5:$I$45,37,1)*(1+'B Supuestos'!$B$12)),0)</f>
        <v>-24038829.117325895</v>
      </c>
      <c r="D45" s="31">
        <f>-'B Supuestos'!$B$6*INDEX('Trayectorias B'!$C$5:$I$45,41,2)</f>
        <v>-20393936.38782274</v>
      </c>
      <c r="E45" s="31">
        <f>D45+IF(ISNUMBER(MATCH(40,'B Supuestos'!$D$20:$D$23,0)),INDEX('B Supuestos'!$F$20:$F$23,MATCH(40,'B Supuestos'!$D$20:$D$23,0))*(INDEX('Trayectorias B'!$C$5:$I$45,41,2)-INDEX('Trayectorias B'!$C$5:$I$45,37,2)*(1+'B Supuestos'!$B$12)),0)</f>
        <v>-17986758.461449225</v>
      </c>
      <c r="F45" s="31">
        <f>-'B Supuestos'!$B$6*INDEX('Trayectorias B'!$C$5:$I$45,41,3)</f>
        <v>-29410179.813825961</v>
      </c>
      <c r="G45" s="31">
        <f>F45+IF(ISNUMBER(MATCH(40,'B Supuestos'!$D$20:$D$23,0)),INDEX('B Supuestos'!$F$20:$F$23,MATCH(40,'B Supuestos'!$D$20:$D$23,0))*(INDEX('Trayectorias B'!$C$5:$I$45,41,3)-INDEX('Trayectorias B'!$C$5:$I$45,37,3)*(1+'B Supuestos'!$B$12)),0)</f>
        <v>-31033555.382460877</v>
      </c>
      <c r="H45" s="31">
        <f>-'B Supuestos'!$B$6*INDEX('Trayectorias B'!$C$5:$I$45,41,4)</f>
        <v>-13997717.825921612</v>
      </c>
      <c r="I45" s="31">
        <f>H45+IF(ISNUMBER(MATCH(40,'B Supuestos'!$D$20:$D$23,0)),INDEX('B Supuestos'!$F$20:$F$23,MATCH(40,'B Supuestos'!$D$20:$D$23,0))*(INDEX('Trayectorias B'!$C$5:$I$45,41,4)-INDEX('Trayectorias B'!$C$5:$I$45,37,4)*(1+'B Supuestos'!$B$12)),0)</f>
        <v>-26438057.168720312</v>
      </c>
      <c r="J45" s="31">
        <f>-'B Supuestos'!$B$6*INDEX('Trayectorias B'!$C$5:$I$45,41,5)</f>
        <v>-21148311.903815094</v>
      </c>
      <c r="K45" s="31">
        <f>J45+IF(ISNUMBER(MATCH(40,'B Supuestos'!$D$20:$D$23,0)),INDEX('B Supuestos'!$F$20:$F$23,MATCH(40,'B Supuestos'!$D$20:$D$23,0))*(INDEX('Trayectorias B'!$C$5:$I$45,41,5)-INDEX('Trayectorias B'!$C$5:$I$45,37,5)*(1+'B Supuestos'!$B$12)),0)</f>
        <v>-39832879.011745453</v>
      </c>
      <c r="L45" s="31">
        <f>-'B Supuestos'!$B$6*INDEX('Trayectorias B'!$C$5:$I$45,41,6)</f>
        <v>-28896789.044544339</v>
      </c>
      <c r="M45" s="31">
        <f>L45+IF(ISNUMBER(MATCH(40,'B Supuestos'!$D$20:$D$23,0)),INDEX('B Supuestos'!$F$20:$F$23,MATCH(40,'B Supuestos'!$D$20:$D$23,0))*(INDEX('Trayectorias B'!$C$5:$I$45,41,6)-INDEX('Trayectorias B'!$C$5:$I$45,37,6)*(1+'B Supuestos'!$B$12)),0)</f>
        <v>-32030421.946945377</v>
      </c>
      <c r="N45" s="31">
        <f>-'B Supuestos'!$B$6*INDEX('Trayectorias B'!$C$5:$I$45,41,7)</f>
        <v>-20428257.777864866</v>
      </c>
      <c r="O45" s="31">
        <f>N45+IF(ISNUMBER(MATCH(40,'B Supuestos'!$D$20:$D$23,0)),INDEX('B Supuestos'!$F$20:$F$23,MATCH(40,'B Supuestos'!$D$20:$D$23,0))*(INDEX('Trayectorias B'!$C$5:$I$45,41,7)-INDEX('Trayectorias B'!$C$5:$I$45,37,7)*(1+'B Supuestos'!$B$12)),0)</f>
        <v>-24157274.500405792</v>
      </c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9" sqref="M9:N9"/>
    </sheetView>
  </sheetViews>
  <sheetFormatPr baseColWidth="10" defaultColWidth="8.6640625" defaultRowHeight="14.4" x14ac:dyDescent="0.3"/>
  <cols>
    <col min="1" max="1" width="24" customWidth="1"/>
    <col min="2" max="2" width="14" customWidth="1"/>
    <col min="3" max="3" width="11" customWidth="1"/>
    <col min="4" max="4" width="13" customWidth="1"/>
    <col min="5" max="5" width="12" customWidth="1"/>
    <col min="6" max="6" width="13" customWidth="1"/>
    <col min="7" max="7" width="16" customWidth="1"/>
    <col min="8" max="11" width="13" customWidth="1"/>
    <col min="12" max="12" width="17" customWidth="1"/>
    <col min="13" max="13" width="40" customWidth="1"/>
    <col min="14" max="14" width="46" customWidth="1"/>
  </cols>
  <sheetData>
    <row r="1" spans="1:14" ht="17.399999999999999" x14ac:dyDescent="0.3">
      <c r="A1" s="13" t="s">
        <v>419</v>
      </c>
    </row>
    <row r="2" spans="1:14" ht="31.5" customHeight="1" x14ac:dyDescent="0.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4" ht="45.75" customHeight="1" x14ac:dyDescent="0.3">
      <c r="A4" s="2" t="s">
        <v>420</v>
      </c>
      <c r="B4" s="2" t="s">
        <v>421</v>
      </c>
      <c r="C4" s="2" t="s">
        <v>422</v>
      </c>
      <c r="D4" s="2" t="s">
        <v>423</v>
      </c>
      <c r="E4" s="2" t="s">
        <v>424</v>
      </c>
      <c r="F4" s="2" t="s">
        <v>425</v>
      </c>
      <c r="G4" s="2" t="s">
        <v>426</v>
      </c>
      <c r="H4" s="2" t="s">
        <v>427</v>
      </c>
      <c r="I4" s="2" t="s">
        <v>428</v>
      </c>
      <c r="J4" s="2" t="s">
        <v>429</v>
      </c>
      <c r="K4" s="2" t="s">
        <v>430</v>
      </c>
      <c r="L4" s="2" t="s">
        <v>431</v>
      </c>
      <c r="M4" s="90"/>
      <c r="N4" s="90"/>
    </row>
    <row r="5" spans="1:14" ht="78" customHeight="1" x14ac:dyDescent="0.3">
      <c r="A5" s="15" t="s">
        <v>432</v>
      </c>
      <c r="B5" s="62">
        <v>45199</v>
      </c>
      <c r="C5" s="29">
        <f>COUNTIFS('Históricos TRM'!$A$6:$A$139,"&gt;"&amp;B5)</f>
        <v>12</v>
      </c>
      <c r="D5" s="19">
        <f>4*AVERAGEIFS('Históricos TRM'!$C$6:$C$139,'Históricos TRM'!$A$6:$A$139,"&gt;"&amp;B5)</f>
        <v>-6.3890019927598171E-2</v>
      </c>
      <c r="E5" s="19">
        <f>2*SQRT((SUMPRODUCT(('Históricos TRM'!$A$6:$A$139&gt;B5)*('Históricos TRM'!$C$6:$C$139)^2)-C5*(D5/4)^2)/(C5-1))</f>
        <v>8.5189376585171422E-2</v>
      </c>
      <c r="F5" s="19">
        <f t="shared" ref="F5:F10" si="0">E5/SQRT(C5/4)</f>
        <v>4.9184109503545126E-2</v>
      </c>
      <c r="G5" s="29" t="str">
        <f t="shared" ref="G5:G10" si="1">TEXT(D5-1.96*F5,"0.0%")&amp;" a "&amp;TEXT(D5+1.96*F5,"0.0%")</f>
        <v>-16.0% a 3.3%</v>
      </c>
      <c r="H5" s="36">
        <v>2617.38126772737</v>
      </c>
      <c r="I5" s="36">
        <v>1230.73463154057</v>
      </c>
      <c r="J5" s="36">
        <v>1905.8384103457399</v>
      </c>
      <c r="K5" s="36">
        <v>2945.6621225011199</v>
      </c>
      <c r="L5" s="31">
        <v>545470649.70506597</v>
      </c>
      <c r="M5" s="1"/>
      <c r="N5" s="1"/>
    </row>
    <row r="6" spans="1:14" ht="78" customHeight="1" x14ac:dyDescent="0.3">
      <c r="A6" s="15" t="s">
        <v>433</v>
      </c>
      <c r="B6" s="62">
        <v>44469</v>
      </c>
      <c r="C6" s="29">
        <f>COUNTIFS('Históricos TRM'!$A$6:$A$139,"&gt;"&amp;B6)</f>
        <v>20</v>
      </c>
      <c r="D6" s="19">
        <f>4*AVERAGEIFS('Históricos TRM'!$C$6:$C$139,'Históricos TRM'!$A$6:$A$139,"&gt;"&amp;B6)</f>
        <v>-2.6076234678566495E-2</v>
      </c>
      <c r="E6" s="19">
        <f>2*SQRT((SUMPRODUCT(('Históricos TRM'!$A$6:$A$139&gt;B6)*('Históricos TRM'!$C$6:$C$139)^2)-C6*(D6/4)^2)/(C6-1))</f>
        <v>0.1143831626975676</v>
      </c>
      <c r="F6" s="19">
        <f t="shared" si="0"/>
        <v>5.1153705454635871E-2</v>
      </c>
      <c r="G6" s="29" t="str">
        <f t="shared" si="1"/>
        <v>-12.6% a 7.4%</v>
      </c>
      <c r="H6" s="36">
        <v>3047.1988874679701</v>
      </c>
      <c r="I6" s="36">
        <v>1501.7988355464399</v>
      </c>
      <c r="J6" s="36">
        <v>2680.3603798976201</v>
      </c>
      <c r="K6" s="36">
        <v>4774.7366689210603</v>
      </c>
      <c r="L6" s="31">
        <v>638330321.30386102</v>
      </c>
      <c r="M6" s="1"/>
      <c r="N6" s="1"/>
    </row>
    <row r="7" spans="1:14" ht="78" customHeight="1" x14ac:dyDescent="0.3">
      <c r="A7" s="15" t="s">
        <v>434</v>
      </c>
      <c r="B7" s="62">
        <v>42643</v>
      </c>
      <c r="C7" s="29">
        <f>COUNTIFS('Históricos TRM'!$A$6:$A$139,"&gt;"&amp;B7)</f>
        <v>40</v>
      </c>
      <c r="D7" s="19">
        <f>4*AVERAGEIFS('Históricos TRM'!$C$6:$C$139,'Históricos TRM'!$A$6:$A$139,"&gt;"&amp;B7)</f>
        <v>1.5015671416539686E-2</v>
      </c>
      <c r="E7" s="19">
        <f>2*SQRT((SUMPRODUCT(('Históricos TRM'!$A$6:$A$139&gt;B7)*('Históricos TRM'!$C$6:$C$139)^2)-C7*(D7/4)^2)/(C7-1))</f>
        <v>0.13152673687014355</v>
      </c>
      <c r="F7" s="19">
        <f t="shared" si="0"/>
        <v>4.1592406171929962E-2</v>
      </c>
      <c r="G7" s="29" t="str">
        <f t="shared" si="1"/>
        <v>-6.7% a 9.7%</v>
      </c>
      <c r="H7" s="36">
        <v>3592.8742471873902</v>
      </c>
      <c r="I7" s="36">
        <v>2001.02195059682</v>
      </c>
      <c r="J7" s="36">
        <v>3876.8977813116899</v>
      </c>
      <c r="K7" s="36">
        <v>7518.0230136141799</v>
      </c>
      <c r="L7" s="31">
        <v>765019540.54796398</v>
      </c>
      <c r="M7" s="1"/>
      <c r="N7" s="1"/>
    </row>
    <row r="8" spans="1:14" ht="78" customHeight="1" x14ac:dyDescent="0.3">
      <c r="A8" s="15" t="s">
        <v>435</v>
      </c>
      <c r="B8" s="62">
        <v>38990</v>
      </c>
      <c r="C8" s="29">
        <f>COUNTIFS('Históricos TRM'!$A$6:$A$139,"&gt;"&amp;B8)</f>
        <v>80</v>
      </c>
      <c r="D8" s="19">
        <f>4*AVERAGEIFS('Históricos TRM'!$C$6:$C$139,'Históricos TRM'!$A$6:$A$139,"&gt;"&amp;B8)</f>
        <v>1.6743984827998066E-2</v>
      </c>
      <c r="E8" s="19">
        <f>2*SQRT((SUMPRODUCT(('Históricos TRM'!$A$6:$A$139&gt;B8)*('Históricos TRM'!$C$6:$C$139)^2)-C8*(D8/4)^2)/(C8-1))</f>
        <v>0.13931575649568395</v>
      </c>
      <c r="F8" s="19">
        <f t="shared" si="0"/>
        <v>3.1151950186115718E-2</v>
      </c>
      <c r="G8" s="29" t="str">
        <f t="shared" si="1"/>
        <v>-4.4% a 7.8%</v>
      </c>
      <c r="H8" s="36">
        <v>3617.3559475932102</v>
      </c>
      <c r="I8" s="36">
        <v>1958.1714893184801</v>
      </c>
      <c r="J8" s="36">
        <v>3938.48948657236</v>
      </c>
      <c r="K8" s="36">
        <v>7917.2373409086103</v>
      </c>
      <c r="L8" s="31">
        <v>774429821.05175197</v>
      </c>
      <c r="M8" s="1"/>
      <c r="N8" s="1"/>
    </row>
    <row r="9" spans="1:14" ht="78" customHeight="1" x14ac:dyDescent="0.3">
      <c r="A9" s="44" t="s">
        <v>436</v>
      </c>
      <c r="B9" s="67">
        <v>36433</v>
      </c>
      <c r="C9" s="68">
        <f>COUNTIFS('Históricos TRM'!$A$6:$A$139,"&gt;"&amp;B9)</f>
        <v>108</v>
      </c>
      <c r="D9" s="45">
        <f>4*AVERAGEIFS('Históricos TRM'!$C$6:$C$139,'Históricos TRM'!$A$6:$A$139,"&gt;"&amp;B9)</f>
        <v>1.89757662093392E-2</v>
      </c>
      <c r="E9" s="45">
        <f>2*SQRT((SUMPRODUCT(('Históricos TRM'!$A$6:$A$139&gt;B9)*('Históricos TRM'!$C$6:$C$139)^2)-C9*(D9/4)^2)/(C9-1))</f>
        <v>0.13125792983537532</v>
      </c>
      <c r="F9" s="45">
        <f t="shared" si="0"/>
        <v>2.5260600374575649E-2</v>
      </c>
      <c r="G9" s="68" t="str">
        <f t="shared" si="1"/>
        <v>-3.1% a 6.8%</v>
      </c>
      <c r="H9" s="46">
        <v>3650.2245842867301</v>
      </c>
      <c r="I9" s="46">
        <v>2076.1782834311598</v>
      </c>
      <c r="J9" s="46">
        <v>4017.1538108537602</v>
      </c>
      <c r="K9" s="46">
        <v>7779.6849922586998</v>
      </c>
      <c r="L9" s="59">
        <v>778270534.54441798</v>
      </c>
      <c r="M9" s="92"/>
      <c r="N9" s="92"/>
    </row>
    <row r="10" spans="1:14" ht="78" customHeight="1" x14ac:dyDescent="0.3">
      <c r="A10" s="15" t="s">
        <v>437</v>
      </c>
      <c r="B10" s="62">
        <v>34059</v>
      </c>
      <c r="C10" s="29">
        <f>COUNTIFS('Históricos TRM'!$A$6:$A$139,"&gt;"&amp;B10)</f>
        <v>134</v>
      </c>
      <c r="D10" s="19">
        <f>4*AVERAGEIFS('Históricos TRM'!$C$6:$C$139,'Históricos TRM'!$A$6:$A$139,"&gt;"&amp;B10)</f>
        <v>4.3973519215585663E-2</v>
      </c>
      <c r="E10" s="19">
        <f>2*SQRT((SUMPRODUCT(('Históricos TRM'!$A$6:$A$139&gt;B10)*('Históricos TRM'!$C$6:$C$139)^2)-C10*(D10/4)^2)/(C10-1))</f>
        <v>0.12856149613829432</v>
      </c>
      <c r="F10" s="19">
        <f t="shared" si="0"/>
        <v>2.2212043451874483E-2</v>
      </c>
      <c r="G10" s="29" t="str">
        <f t="shared" si="1"/>
        <v>0.0% a 8.8%</v>
      </c>
      <c r="H10" s="36">
        <v>4033.22941736746</v>
      </c>
      <c r="I10" s="36">
        <v>2632.82914233663</v>
      </c>
      <c r="J10" s="36">
        <v>5031.2247969228802</v>
      </c>
      <c r="K10" s="36">
        <v>9616.7055706355895</v>
      </c>
      <c r="L10" s="31">
        <v>869324385.93193603</v>
      </c>
      <c r="M10" s="1"/>
      <c r="N10" s="1"/>
    </row>
    <row r="12" spans="1:14" x14ac:dyDescent="0.3">
      <c r="A12" s="14"/>
    </row>
    <row r="13" spans="1:14" ht="109.5" customHeight="1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</row>
  </sheetData>
  <mergeCells count="2">
    <mergeCell ref="A2:L2"/>
    <mergeCell ref="A13:N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39"/>
  <sheetViews>
    <sheetView zoomScaleNormal="100" workbookViewId="0">
      <pane ySplit="4" topLeftCell="A122" activePane="bottomLeft" state="frozen"/>
      <selection pane="bottomLeft"/>
    </sheetView>
  </sheetViews>
  <sheetFormatPr baseColWidth="10" defaultColWidth="8.6640625" defaultRowHeight="14.4" x14ac:dyDescent="0.3"/>
  <cols>
    <col min="1" max="2" width="16" customWidth="1"/>
    <col min="3" max="3" width="18" customWidth="1"/>
    <col min="4" max="4" width="62" customWidth="1"/>
  </cols>
  <sheetData>
    <row r="1" spans="1:4" ht="17.399999999999999" x14ac:dyDescent="0.3">
      <c r="A1" s="13" t="s">
        <v>438</v>
      </c>
    </row>
    <row r="2" spans="1:4" x14ac:dyDescent="0.3">
      <c r="A2" s="11" t="s">
        <v>439</v>
      </c>
    </row>
    <row r="4" spans="1:4" ht="27.6" x14ac:dyDescent="0.3">
      <c r="A4" s="2" t="s">
        <v>440</v>
      </c>
      <c r="B4" s="2" t="s">
        <v>441</v>
      </c>
      <c r="C4" s="2" t="s">
        <v>442</v>
      </c>
      <c r="D4" s="2" t="s">
        <v>176</v>
      </c>
    </row>
    <row r="5" spans="1:4" x14ac:dyDescent="0.3">
      <c r="A5" s="62">
        <v>34059</v>
      </c>
      <c r="B5" s="40">
        <v>767.1</v>
      </c>
      <c r="C5" s="19"/>
      <c r="D5" s="29" t="s">
        <v>443</v>
      </c>
    </row>
    <row r="6" spans="1:4" x14ac:dyDescent="0.3">
      <c r="A6" s="62">
        <v>34150</v>
      </c>
      <c r="B6" s="40">
        <v>786.8</v>
      </c>
      <c r="C6" s="19">
        <f t="shared" ref="C6:C37" si="0">LN(B6/B5)</f>
        <v>2.5356915549653351E-2</v>
      </c>
      <c r="D6" s="29" t="s">
        <v>443</v>
      </c>
    </row>
    <row r="7" spans="1:4" x14ac:dyDescent="0.3">
      <c r="A7" s="62">
        <v>34242</v>
      </c>
      <c r="B7" s="40">
        <v>810.11</v>
      </c>
      <c r="C7" s="19">
        <f t="shared" si="0"/>
        <v>2.9195954400395813E-2</v>
      </c>
      <c r="D7" s="29" t="s">
        <v>443</v>
      </c>
    </row>
    <row r="8" spans="1:4" x14ac:dyDescent="0.3">
      <c r="A8" s="62">
        <v>34334</v>
      </c>
      <c r="B8" s="40">
        <v>804.04</v>
      </c>
      <c r="C8" s="19">
        <f t="shared" si="0"/>
        <v>-7.521021730104327E-3</v>
      </c>
      <c r="D8" s="29" t="s">
        <v>443</v>
      </c>
    </row>
    <row r="9" spans="1:4" x14ac:dyDescent="0.3">
      <c r="A9" s="62">
        <v>34424</v>
      </c>
      <c r="B9" s="40">
        <v>821.21</v>
      </c>
      <c r="C9" s="19">
        <f t="shared" si="0"/>
        <v>2.1129843186950402E-2</v>
      </c>
      <c r="D9" s="29" t="s">
        <v>443</v>
      </c>
    </row>
    <row r="10" spans="1:4" x14ac:dyDescent="0.3">
      <c r="A10" s="62">
        <v>34515</v>
      </c>
      <c r="B10" s="40">
        <v>820.47</v>
      </c>
      <c r="C10" s="19">
        <f t="shared" si="0"/>
        <v>-9.0151558174356974E-4</v>
      </c>
      <c r="D10" s="29" t="s">
        <v>443</v>
      </c>
    </row>
    <row r="11" spans="1:4" x14ac:dyDescent="0.3">
      <c r="A11" s="62">
        <v>34607</v>
      </c>
      <c r="B11" s="40">
        <v>840.9</v>
      </c>
      <c r="C11" s="19">
        <f t="shared" si="0"/>
        <v>2.4595400048449963E-2</v>
      </c>
      <c r="D11" s="29" t="s">
        <v>443</v>
      </c>
    </row>
    <row r="12" spans="1:4" x14ac:dyDescent="0.3">
      <c r="A12" s="62">
        <v>34699</v>
      </c>
      <c r="B12" s="40">
        <v>829.32</v>
      </c>
      <c r="C12" s="19">
        <f t="shared" si="0"/>
        <v>-1.3866658947548927E-2</v>
      </c>
      <c r="D12" s="29" t="s">
        <v>443</v>
      </c>
    </row>
    <row r="13" spans="1:4" x14ac:dyDescent="0.3">
      <c r="A13" s="62">
        <v>34789</v>
      </c>
      <c r="B13" s="40">
        <v>873.67</v>
      </c>
      <c r="C13" s="19">
        <f t="shared" si="0"/>
        <v>5.2096642094372321E-2</v>
      </c>
      <c r="D13" s="29" t="s">
        <v>443</v>
      </c>
    </row>
    <row r="14" spans="1:4" x14ac:dyDescent="0.3">
      <c r="A14" s="62">
        <v>34880</v>
      </c>
      <c r="B14" s="40">
        <v>876.89</v>
      </c>
      <c r="C14" s="19">
        <f t="shared" si="0"/>
        <v>3.678826925738263E-3</v>
      </c>
      <c r="D14" s="29" t="s">
        <v>443</v>
      </c>
    </row>
    <row r="15" spans="1:4" x14ac:dyDescent="0.3">
      <c r="A15" s="62">
        <v>34972</v>
      </c>
      <c r="B15" s="40">
        <v>977.54</v>
      </c>
      <c r="C15" s="19">
        <f t="shared" si="0"/>
        <v>0.10865765482698982</v>
      </c>
      <c r="D15" s="29" t="s">
        <v>443</v>
      </c>
    </row>
    <row r="16" spans="1:4" x14ac:dyDescent="0.3">
      <c r="A16" s="62">
        <v>35064</v>
      </c>
      <c r="B16" s="40">
        <v>986.75</v>
      </c>
      <c r="C16" s="19">
        <f t="shared" si="0"/>
        <v>9.3775028045528577E-3</v>
      </c>
      <c r="D16" s="29" t="s">
        <v>443</v>
      </c>
    </row>
    <row r="17" spans="1:4" x14ac:dyDescent="0.3">
      <c r="A17" s="62">
        <v>35155</v>
      </c>
      <c r="B17" s="40">
        <v>1048.6199999999999</v>
      </c>
      <c r="C17" s="19">
        <f t="shared" si="0"/>
        <v>6.0813578463368247E-2</v>
      </c>
      <c r="D17" s="29" t="s">
        <v>443</v>
      </c>
    </row>
    <row r="18" spans="1:4" x14ac:dyDescent="0.3">
      <c r="A18" s="62">
        <v>35246</v>
      </c>
      <c r="B18" s="40">
        <v>1070.07</v>
      </c>
      <c r="C18" s="19">
        <f t="shared" si="0"/>
        <v>2.0249052870543235E-2</v>
      </c>
      <c r="D18" s="29" t="s">
        <v>443</v>
      </c>
    </row>
    <row r="19" spans="1:4" x14ac:dyDescent="0.3">
      <c r="A19" s="62">
        <v>35338</v>
      </c>
      <c r="B19" s="40">
        <v>1032.29</v>
      </c>
      <c r="C19" s="19">
        <f t="shared" si="0"/>
        <v>-3.5944431558705144E-2</v>
      </c>
      <c r="D19" s="29" t="s">
        <v>443</v>
      </c>
    </row>
    <row r="20" spans="1:4" x14ac:dyDescent="0.3">
      <c r="A20" s="62">
        <v>35430</v>
      </c>
      <c r="B20" s="40">
        <v>1003.98</v>
      </c>
      <c r="C20" s="19">
        <f t="shared" si="0"/>
        <v>-2.7807534583625518E-2</v>
      </c>
      <c r="D20" s="29" t="s">
        <v>443</v>
      </c>
    </row>
    <row r="21" spans="1:4" x14ac:dyDescent="0.3">
      <c r="A21" s="62">
        <v>35520</v>
      </c>
      <c r="B21" s="40">
        <v>1060.08</v>
      </c>
      <c r="C21" s="19">
        <f t="shared" si="0"/>
        <v>5.4372276221843374E-2</v>
      </c>
      <c r="D21" s="29" t="s">
        <v>443</v>
      </c>
    </row>
    <row r="22" spans="1:4" x14ac:dyDescent="0.3">
      <c r="A22" s="62">
        <v>35611</v>
      </c>
      <c r="B22" s="40">
        <v>1087.8599999999999</v>
      </c>
      <c r="C22" s="19">
        <f t="shared" si="0"/>
        <v>2.5868086709391606E-2</v>
      </c>
      <c r="D22" s="29" t="s">
        <v>443</v>
      </c>
    </row>
    <row r="23" spans="1:4" x14ac:dyDescent="0.3">
      <c r="A23" s="62">
        <v>35703</v>
      </c>
      <c r="B23" s="40">
        <v>1247.69</v>
      </c>
      <c r="C23" s="19">
        <f t="shared" si="0"/>
        <v>0.13708137797195044</v>
      </c>
      <c r="D23" s="29" t="s">
        <v>443</v>
      </c>
    </row>
    <row r="24" spans="1:4" x14ac:dyDescent="0.3">
      <c r="A24" s="62">
        <v>35795</v>
      </c>
      <c r="B24" s="40">
        <v>1287.1199999999999</v>
      </c>
      <c r="C24" s="19">
        <f t="shared" si="0"/>
        <v>3.1113322705056581E-2</v>
      </c>
      <c r="D24" s="29" t="s">
        <v>443</v>
      </c>
    </row>
    <row r="25" spans="1:4" x14ac:dyDescent="0.3">
      <c r="A25" s="62">
        <v>35885</v>
      </c>
      <c r="B25" s="40">
        <v>1362.87</v>
      </c>
      <c r="C25" s="19">
        <f t="shared" si="0"/>
        <v>5.7185605962004074E-2</v>
      </c>
      <c r="D25" s="29" t="s">
        <v>443</v>
      </c>
    </row>
    <row r="26" spans="1:4" x14ac:dyDescent="0.3">
      <c r="A26" s="62">
        <v>35976</v>
      </c>
      <c r="B26" s="40">
        <v>1375.53</v>
      </c>
      <c r="C26" s="19">
        <f t="shared" si="0"/>
        <v>9.2463410728235544E-3</v>
      </c>
      <c r="D26" s="29" t="s">
        <v>443</v>
      </c>
    </row>
    <row r="27" spans="1:4" x14ac:dyDescent="0.3">
      <c r="A27" s="62">
        <v>36068</v>
      </c>
      <c r="B27" s="40">
        <v>1554.09</v>
      </c>
      <c r="C27" s="19">
        <f t="shared" si="0"/>
        <v>0.12205105393088855</v>
      </c>
      <c r="D27" s="29" t="s">
        <v>443</v>
      </c>
    </row>
    <row r="28" spans="1:4" x14ac:dyDescent="0.3">
      <c r="A28" s="62">
        <v>36160</v>
      </c>
      <c r="B28" s="40">
        <v>1510.99</v>
      </c>
      <c r="C28" s="19">
        <f t="shared" si="0"/>
        <v>-2.8125100191342185E-2</v>
      </c>
      <c r="D28" s="29" t="s">
        <v>443</v>
      </c>
    </row>
    <row r="29" spans="1:4" x14ac:dyDescent="0.3">
      <c r="A29" s="62">
        <v>36250</v>
      </c>
      <c r="B29" s="40">
        <v>1532.94</v>
      </c>
      <c r="C29" s="19">
        <f t="shared" si="0"/>
        <v>1.4422395045463901E-2</v>
      </c>
      <c r="D29" s="29" t="s">
        <v>443</v>
      </c>
    </row>
    <row r="30" spans="1:4" x14ac:dyDescent="0.3">
      <c r="A30" s="62">
        <v>36341</v>
      </c>
      <c r="B30" s="40">
        <v>1735.82</v>
      </c>
      <c r="C30" s="19">
        <f t="shared" si="0"/>
        <v>0.12429246404590263</v>
      </c>
      <c r="D30" s="29" t="s">
        <v>443</v>
      </c>
    </row>
    <row r="31" spans="1:4" x14ac:dyDescent="0.3">
      <c r="A31" s="62">
        <v>36433</v>
      </c>
      <c r="B31" s="40">
        <v>2004.97</v>
      </c>
      <c r="C31" s="19">
        <f t="shared" si="0"/>
        <v>0.14414917382669279</v>
      </c>
      <c r="D31" s="29" t="s">
        <v>443</v>
      </c>
    </row>
    <row r="32" spans="1:4" x14ac:dyDescent="0.3">
      <c r="A32" s="62">
        <v>36525</v>
      </c>
      <c r="B32" s="40">
        <v>1872.12</v>
      </c>
      <c r="C32" s="19">
        <f t="shared" si="0"/>
        <v>-6.8557619488054306E-2</v>
      </c>
      <c r="D32" s="29" t="s">
        <v>443</v>
      </c>
    </row>
    <row r="33" spans="1:4" x14ac:dyDescent="0.3">
      <c r="A33" s="62">
        <v>36616</v>
      </c>
      <c r="B33" s="40">
        <v>1954.04</v>
      </c>
      <c r="C33" s="19">
        <f t="shared" si="0"/>
        <v>4.2827545675113848E-2</v>
      </c>
      <c r="D33" s="29" t="s">
        <v>443</v>
      </c>
    </row>
    <row r="34" spans="1:4" x14ac:dyDescent="0.3">
      <c r="A34" s="62">
        <v>36707</v>
      </c>
      <c r="B34" s="40">
        <v>2132.8200000000002</v>
      </c>
      <c r="C34" s="19">
        <f t="shared" si="0"/>
        <v>8.7546023502541287E-2</v>
      </c>
      <c r="D34" s="29" t="s">
        <v>443</v>
      </c>
    </row>
    <row r="35" spans="1:4" x14ac:dyDescent="0.3">
      <c r="A35" s="62">
        <v>36799</v>
      </c>
      <c r="B35" s="40">
        <v>2222.37</v>
      </c>
      <c r="C35" s="19">
        <f t="shared" si="0"/>
        <v>4.1129146264068349E-2</v>
      </c>
      <c r="D35" s="29" t="s">
        <v>443</v>
      </c>
    </row>
    <row r="36" spans="1:4" x14ac:dyDescent="0.3">
      <c r="A36" s="62">
        <v>36891</v>
      </c>
      <c r="B36" s="40">
        <v>2186.21</v>
      </c>
      <c r="C36" s="19">
        <f t="shared" si="0"/>
        <v>-1.640474299268627E-2</v>
      </c>
      <c r="D36" s="29" t="s">
        <v>443</v>
      </c>
    </row>
    <row r="37" spans="1:4" x14ac:dyDescent="0.3">
      <c r="A37" s="62">
        <v>36981</v>
      </c>
      <c r="B37" s="40">
        <v>2278.7800000000002</v>
      </c>
      <c r="C37" s="19">
        <f t="shared" si="0"/>
        <v>4.1470761022470173E-2</v>
      </c>
      <c r="D37" s="29" t="s">
        <v>443</v>
      </c>
    </row>
    <row r="38" spans="1:4" x14ac:dyDescent="0.3">
      <c r="A38" s="62">
        <v>37072</v>
      </c>
      <c r="B38" s="40">
        <v>2305.66</v>
      </c>
      <c r="C38" s="19">
        <f t="shared" ref="C38:C69" si="1">LN(B38/B37)</f>
        <v>1.1726757482710048E-2</v>
      </c>
      <c r="D38" s="29" t="s">
        <v>443</v>
      </c>
    </row>
    <row r="39" spans="1:4" x14ac:dyDescent="0.3">
      <c r="A39" s="62">
        <v>37164</v>
      </c>
      <c r="B39" s="40">
        <v>2328.23</v>
      </c>
      <c r="C39" s="19">
        <f t="shared" si="1"/>
        <v>9.7413527206849891E-3</v>
      </c>
      <c r="D39" s="29" t="s">
        <v>443</v>
      </c>
    </row>
    <row r="40" spans="1:4" x14ac:dyDescent="0.3">
      <c r="A40" s="62">
        <v>37256</v>
      </c>
      <c r="B40" s="40">
        <v>2306.9</v>
      </c>
      <c r="C40" s="19">
        <f t="shared" si="1"/>
        <v>-9.2036903250210574E-3</v>
      </c>
      <c r="D40" s="29" t="s">
        <v>443</v>
      </c>
    </row>
    <row r="41" spans="1:4" x14ac:dyDescent="0.3">
      <c r="A41" s="62">
        <v>37346</v>
      </c>
      <c r="B41" s="40">
        <v>2282.33</v>
      </c>
      <c r="C41" s="19">
        <f t="shared" si="1"/>
        <v>-1.0707780938799774E-2</v>
      </c>
      <c r="D41" s="29" t="s">
        <v>443</v>
      </c>
    </row>
    <row r="42" spans="1:4" x14ac:dyDescent="0.3">
      <c r="A42" s="62">
        <v>37437</v>
      </c>
      <c r="B42" s="40">
        <v>2364.25</v>
      </c>
      <c r="C42" s="19">
        <f t="shared" si="1"/>
        <v>3.526399593738172E-2</v>
      </c>
      <c r="D42" s="29" t="s">
        <v>443</v>
      </c>
    </row>
    <row r="43" spans="1:4" x14ac:dyDescent="0.3">
      <c r="A43" s="62">
        <v>37529</v>
      </c>
      <c r="B43" s="40">
        <v>2751.23</v>
      </c>
      <c r="C43" s="19">
        <f t="shared" si="1"/>
        <v>0.15158723749563796</v>
      </c>
      <c r="D43" s="29" t="s">
        <v>443</v>
      </c>
    </row>
    <row r="44" spans="1:4" x14ac:dyDescent="0.3">
      <c r="A44" s="62">
        <v>37621</v>
      </c>
      <c r="B44" s="40">
        <v>2814.89</v>
      </c>
      <c r="C44" s="19">
        <f t="shared" si="1"/>
        <v>2.2875100042475539E-2</v>
      </c>
      <c r="D44" s="29" t="s">
        <v>443</v>
      </c>
    </row>
    <row r="45" spans="1:4" x14ac:dyDescent="0.3">
      <c r="A45" s="62">
        <v>37711</v>
      </c>
      <c r="B45" s="40">
        <v>2959.01</v>
      </c>
      <c r="C45" s="19">
        <f t="shared" si="1"/>
        <v>4.9931568480872185E-2</v>
      </c>
      <c r="D45" s="29" t="s">
        <v>443</v>
      </c>
    </row>
    <row r="46" spans="1:4" x14ac:dyDescent="0.3">
      <c r="A46" s="62">
        <v>37802</v>
      </c>
      <c r="B46" s="40">
        <v>2826.95</v>
      </c>
      <c r="C46" s="19">
        <f t="shared" si="1"/>
        <v>-4.5656360970988769E-2</v>
      </c>
      <c r="D46" s="29" t="s">
        <v>443</v>
      </c>
    </row>
    <row r="47" spans="1:4" x14ac:dyDescent="0.3">
      <c r="A47" s="62">
        <v>37894</v>
      </c>
      <c r="B47" s="40">
        <v>2840.08</v>
      </c>
      <c r="C47" s="19">
        <f t="shared" si="1"/>
        <v>4.6338288289783699E-3</v>
      </c>
      <c r="D47" s="29" t="s">
        <v>443</v>
      </c>
    </row>
    <row r="48" spans="1:4" x14ac:dyDescent="0.3">
      <c r="A48" s="62">
        <v>37986</v>
      </c>
      <c r="B48" s="40">
        <v>2807.2</v>
      </c>
      <c r="C48" s="19">
        <f t="shared" si="1"/>
        <v>-1.1644675503591721E-2</v>
      </c>
      <c r="D48" s="29" t="s">
        <v>443</v>
      </c>
    </row>
    <row r="49" spans="1:4" x14ac:dyDescent="0.3">
      <c r="A49" s="62">
        <v>38077</v>
      </c>
      <c r="B49" s="40">
        <v>2682.09</v>
      </c>
      <c r="C49" s="19">
        <f t="shared" si="1"/>
        <v>-4.5591203943426632E-2</v>
      </c>
      <c r="D49" s="29" t="s">
        <v>443</v>
      </c>
    </row>
    <row r="50" spans="1:4" x14ac:dyDescent="0.3">
      <c r="A50" s="62">
        <v>38168</v>
      </c>
      <c r="B50" s="40">
        <v>2694.09</v>
      </c>
      <c r="C50" s="19">
        <f t="shared" si="1"/>
        <v>4.4641436590931944E-3</v>
      </c>
      <c r="D50" s="29" t="s">
        <v>443</v>
      </c>
    </row>
    <row r="51" spans="1:4" x14ac:dyDescent="0.3">
      <c r="A51" s="62">
        <v>38260</v>
      </c>
      <c r="B51" s="40">
        <v>2608.3000000000002</v>
      </c>
      <c r="C51" s="19">
        <f t="shared" si="1"/>
        <v>-3.2361816878802421E-2</v>
      </c>
      <c r="D51" s="29" t="s">
        <v>443</v>
      </c>
    </row>
    <row r="52" spans="1:4" x14ac:dyDescent="0.3">
      <c r="A52" s="62">
        <v>38352</v>
      </c>
      <c r="B52" s="40">
        <v>2389.75</v>
      </c>
      <c r="C52" s="19">
        <f t="shared" si="1"/>
        <v>-8.7509910161997509E-2</v>
      </c>
      <c r="D52" s="29" t="s">
        <v>443</v>
      </c>
    </row>
    <row r="53" spans="1:4" x14ac:dyDescent="0.3">
      <c r="A53" s="62">
        <v>38442</v>
      </c>
      <c r="B53" s="40">
        <v>2363.23</v>
      </c>
      <c r="C53" s="19">
        <f t="shared" si="1"/>
        <v>-1.1159430596012758E-2</v>
      </c>
      <c r="D53" s="29" t="s">
        <v>443</v>
      </c>
    </row>
    <row r="54" spans="1:4" x14ac:dyDescent="0.3">
      <c r="A54" s="62">
        <v>38533</v>
      </c>
      <c r="B54" s="40">
        <v>2324.2199999999998</v>
      </c>
      <c r="C54" s="19">
        <f t="shared" si="1"/>
        <v>-1.6644828484673559E-2</v>
      </c>
      <c r="D54" s="29" t="s">
        <v>443</v>
      </c>
    </row>
    <row r="55" spans="1:4" x14ac:dyDescent="0.3">
      <c r="A55" s="62">
        <v>38625</v>
      </c>
      <c r="B55" s="40">
        <v>2288.2199999999998</v>
      </c>
      <c r="C55" s="19">
        <f t="shared" si="1"/>
        <v>-1.5610276139828176E-2</v>
      </c>
      <c r="D55" s="29" t="s">
        <v>443</v>
      </c>
    </row>
    <row r="56" spans="1:4" x14ac:dyDescent="0.3">
      <c r="A56" s="62">
        <v>38717</v>
      </c>
      <c r="B56" s="40">
        <v>2284.2199999999998</v>
      </c>
      <c r="C56" s="19">
        <f t="shared" si="1"/>
        <v>-1.7496133444648006E-3</v>
      </c>
      <c r="D56" s="29" t="s">
        <v>443</v>
      </c>
    </row>
    <row r="57" spans="1:4" x14ac:dyDescent="0.3">
      <c r="A57" s="62">
        <v>38807</v>
      </c>
      <c r="B57" s="40">
        <v>2293.38</v>
      </c>
      <c r="C57" s="19">
        <f t="shared" si="1"/>
        <v>4.002102510561413E-3</v>
      </c>
      <c r="D57" s="29" t="s">
        <v>443</v>
      </c>
    </row>
    <row r="58" spans="1:4" x14ac:dyDescent="0.3">
      <c r="A58" s="62">
        <v>38898</v>
      </c>
      <c r="B58" s="40">
        <v>2579.08</v>
      </c>
      <c r="C58" s="19">
        <f t="shared" si="1"/>
        <v>0.11740603428589391</v>
      </c>
      <c r="D58" s="29" t="s">
        <v>443</v>
      </c>
    </row>
    <row r="59" spans="1:4" x14ac:dyDescent="0.3">
      <c r="A59" s="62">
        <v>38990</v>
      </c>
      <c r="B59" s="40">
        <v>2394.31</v>
      </c>
      <c r="C59" s="19">
        <f t="shared" si="1"/>
        <v>-7.4337657047938627E-2</v>
      </c>
      <c r="D59" s="29" t="s">
        <v>443</v>
      </c>
    </row>
    <row r="60" spans="1:4" x14ac:dyDescent="0.3">
      <c r="A60" s="62">
        <v>39082</v>
      </c>
      <c r="B60" s="40">
        <v>2238.79</v>
      </c>
      <c r="C60" s="19">
        <f t="shared" si="1"/>
        <v>-6.7159547798758421E-2</v>
      </c>
      <c r="D60" s="29" t="s">
        <v>443</v>
      </c>
    </row>
    <row r="61" spans="1:4" x14ac:dyDescent="0.3">
      <c r="A61" s="62">
        <v>39172</v>
      </c>
      <c r="B61" s="40">
        <v>2190.3000000000002</v>
      </c>
      <c r="C61" s="19">
        <f t="shared" si="1"/>
        <v>-2.1897020598501231E-2</v>
      </c>
      <c r="D61" s="29" t="s">
        <v>443</v>
      </c>
    </row>
    <row r="62" spans="1:4" x14ac:dyDescent="0.3">
      <c r="A62" s="62">
        <v>39263</v>
      </c>
      <c r="B62" s="40">
        <v>1960.61</v>
      </c>
      <c r="C62" s="19">
        <f t="shared" si="1"/>
        <v>-0.11078287143608652</v>
      </c>
      <c r="D62" s="29" t="s">
        <v>443</v>
      </c>
    </row>
    <row r="63" spans="1:4" x14ac:dyDescent="0.3">
      <c r="A63" s="62">
        <v>39355</v>
      </c>
      <c r="B63" s="40">
        <v>2023.19</v>
      </c>
      <c r="C63" s="19">
        <f t="shared" si="1"/>
        <v>3.141982438439208E-2</v>
      </c>
      <c r="D63" s="29" t="s">
        <v>443</v>
      </c>
    </row>
    <row r="64" spans="1:4" x14ac:dyDescent="0.3">
      <c r="A64" s="62">
        <v>39447</v>
      </c>
      <c r="B64" s="40">
        <v>2014.76</v>
      </c>
      <c r="C64" s="19">
        <f t="shared" si="1"/>
        <v>-4.1753920911901986E-3</v>
      </c>
      <c r="D64" s="29" t="s">
        <v>443</v>
      </c>
    </row>
    <row r="65" spans="1:4" x14ac:dyDescent="0.3">
      <c r="A65" s="62">
        <v>39538</v>
      </c>
      <c r="B65" s="40">
        <v>1834.96</v>
      </c>
      <c r="C65" s="19">
        <f t="shared" si="1"/>
        <v>-9.3477398701305003E-2</v>
      </c>
      <c r="D65" s="29" t="s">
        <v>443</v>
      </c>
    </row>
    <row r="66" spans="1:4" x14ac:dyDescent="0.3">
      <c r="A66" s="62">
        <v>39629</v>
      </c>
      <c r="B66" s="40">
        <v>1923.02</v>
      </c>
      <c r="C66" s="19">
        <f t="shared" si="1"/>
        <v>4.6874184064752251E-2</v>
      </c>
      <c r="D66" s="29" t="s">
        <v>443</v>
      </c>
    </row>
    <row r="67" spans="1:4" x14ac:dyDescent="0.3">
      <c r="A67" s="62">
        <v>39721</v>
      </c>
      <c r="B67" s="40">
        <v>2184.7600000000002</v>
      </c>
      <c r="C67" s="19">
        <f t="shared" si="1"/>
        <v>0.12760911572921013</v>
      </c>
      <c r="D67" s="29" t="s">
        <v>443</v>
      </c>
    </row>
    <row r="68" spans="1:4" x14ac:dyDescent="0.3">
      <c r="A68" s="62">
        <v>39813</v>
      </c>
      <c r="B68" s="40">
        <v>2243.59</v>
      </c>
      <c r="C68" s="19">
        <f t="shared" si="1"/>
        <v>2.6571278821844648E-2</v>
      </c>
      <c r="D68" s="29" t="s">
        <v>443</v>
      </c>
    </row>
    <row r="69" spans="1:4" x14ac:dyDescent="0.3">
      <c r="A69" s="62">
        <v>39903</v>
      </c>
      <c r="B69" s="40">
        <v>2544.2399999999998</v>
      </c>
      <c r="C69" s="19">
        <f t="shared" si="1"/>
        <v>0.12575471913118469</v>
      </c>
      <c r="D69" s="29" t="s">
        <v>443</v>
      </c>
    </row>
    <row r="70" spans="1:4" x14ac:dyDescent="0.3">
      <c r="A70" s="62">
        <v>39994</v>
      </c>
      <c r="B70" s="40">
        <v>2145.21</v>
      </c>
      <c r="C70" s="19">
        <f t="shared" ref="C70:C101" si="2">LN(B70/B69)</f>
        <v>-0.17059453096503002</v>
      </c>
      <c r="D70" s="29" t="s">
        <v>443</v>
      </c>
    </row>
    <row r="71" spans="1:4" x14ac:dyDescent="0.3">
      <c r="A71" s="62">
        <v>40086</v>
      </c>
      <c r="B71" s="40">
        <v>1925.49</v>
      </c>
      <c r="C71" s="19">
        <f t="shared" si="2"/>
        <v>-0.10805696888268945</v>
      </c>
      <c r="D71" s="29" t="s">
        <v>443</v>
      </c>
    </row>
    <row r="72" spans="1:4" x14ac:dyDescent="0.3">
      <c r="A72" s="62">
        <v>40178</v>
      </c>
      <c r="B72" s="40">
        <v>2044.23</v>
      </c>
      <c r="C72" s="19">
        <f t="shared" si="2"/>
        <v>5.9840709669799694E-2</v>
      </c>
      <c r="D72" s="29" t="s">
        <v>443</v>
      </c>
    </row>
    <row r="73" spans="1:4" x14ac:dyDescent="0.3">
      <c r="A73" s="62">
        <v>40268</v>
      </c>
      <c r="B73" s="40">
        <v>1921.88</v>
      </c>
      <c r="C73" s="19">
        <f t="shared" si="2"/>
        <v>-6.1717316837517446E-2</v>
      </c>
      <c r="D73" s="29" t="s">
        <v>443</v>
      </c>
    </row>
    <row r="74" spans="1:4" x14ac:dyDescent="0.3">
      <c r="A74" s="62">
        <v>40359</v>
      </c>
      <c r="B74" s="40">
        <v>1913.15</v>
      </c>
      <c r="C74" s="19">
        <f t="shared" si="2"/>
        <v>-4.5527753782592332E-3</v>
      </c>
      <c r="D74" s="29" t="s">
        <v>443</v>
      </c>
    </row>
    <row r="75" spans="1:4" x14ac:dyDescent="0.3">
      <c r="A75" s="62">
        <v>40451</v>
      </c>
      <c r="B75" s="40">
        <v>1801.01</v>
      </c>
      <c r="C75" s="19">
        <f t="shared" si="2"/>
        <v>-6.0403479607864768E-2</v>
      </c>
      <c r="D75" s="29" t="s">
        <v>443</v>
      </c>
    </row>
    <row r="76" spans="1:4" x14ac:dyDescent="0.3">
      <c r="A76" s="62">
        <v>40543</v>
      </c>
      <c r="B76" s="40">
        <v>1913.98</v>
      </c>
      <c r="C76" s="19">
        <f t="shared" si="2"/>
        <v>6.08372250061203E-2</v>
      </c>
      <c r="D76" s="29" t="s">
        <v>443</v>
      </c>
    </row>
    <row r="77" spans="1:4" x14ac:dyDescent="0.3">
      <c r="A77" s="62">
        <v>40633</v>
      </c>
      <c r="B77" s="40">
        <v>1870.6</v>
      </c>
      <c r="C77" s="19">
        <f t="shared" si="2"/>
        <v>-2.2925608637060346E-2</v>
      </c>
      <c r="D77" s="29" t="s">
        <v>443</v>
      </c>
    </row>
    <row r="78" spans="1:4" x14ac:dyDescent="0.3">
      <c r="A78" s="62">
        <v>40724</v>
      </c>
      <c r="B78" s="40">
        <v>1772.32</v>
      </c>
      <c r="C78" s="19">
        <f t="shared" si="2"/>
        <v>-5.396981223182791E-2</v>
      </c>
      <c r="D78" s="29" t="s">
        <v>443</v>
      </c>
    </row>
    <row r="79" spans="1:4" x14ac:dyDescent="0.3">
      <c r="A79" s="62">
        <v>40816</v>
      </c>
      <c r="B79" s="40">
        <v>1929.01</v>
      </c>
      <c r="C79" s="19">
        <f t="shared" si="2"/>
        <v>8.4717495156847164E-2</v>
      </c>
      <c r="D79" s="29" t="s">
        <v>443</v>
      </c>
    </row>
    <row r="80" spans="1:4" x14ac:dyDescent="0.3">
      <c r="A80" s="62">
        <v>40908</v>
      </c>
      <c r="B80" s="40">
        <v>1942.7</v>
      </c>
      <c r="C80" s="19">
        <f t="shared" si="2"/>
        <v>7.0718401192652741E-3</v>
      </c>
      <c r="D80" s="29" t="s">
        <v>443</v>
      </c>
    </row>
    <row r="81" spans="1:4" x14ac:dyDescent="0.3">
      <c r="A81" s="62">
        <v>40999</v>
      </c>
      <c r="B81" s="40">
        <v>1792.07</v>
      </c>
      <c r="C81" s="19">
        <f t="shared" si="2"/>
        <v>-8.0707381772778905E-2</v>
      </c>
      <c r="D81" s="29" t="s">
        <v>443</v>
      </c>
    </row>
    <row r="82" spans="1:4" x14ac:dyDescent="0.3">
      <c r="A82" s="62">
        <v>41090</v>
      </c>
      <c r="B82" s="40">
        <v>1784.6</v>
      </c>
      <c r="C82" s="19">
        <f t="shared" si="2"/>
        <v>-4.1770758059051132E-3</v>
      </c>
      <c r="D82" s="29" t="s">
        <v>443</v>
      </c>
    </row>
    <row r="83" spans="1:4" x14ac:dyDescent="0.3">
      <c r="A83" s="62">
        <v>41182</v>
      </c>
      <c r="B83" s="40">
        <v>1800.52</v>
      </c>
      <c r="C83" s="19">
        <f t="shared" si="2"/>
        <v>8.8812115867336755E-3</v>
      </c>
      <c r="D83" s="29" t="s">
        <v>443</v>
      </c>
    </row>
    <row r="84" spans="1:4" x14ac:dyDescent="0.3">
      <c r="A84" s="62">
        <v>41274</v>
      </c>
      <c r="B84" s="40">
        <v>1768.23</v>
      </c>
      <c r="C84" s="19">
        <f t="shared" si="2"/>
        <v>-1.8096465818493425E-2</v>
      </c>
      <c r="D84" s="29" t="s">
        <v>443</v>
      </c>
    </row>
    <row r="85" spans="1:4" x14ac:dyDescent="0.3">
      <c r="A85" s="62">
        <v>41364</v>
      </c>
      <c r="B85" s="40">
        <v>1832.2</v>
      </c>
      <c r="C85" s="19">
        <f t="shared" si="2"/>
        <v>3.5538384346816922E-2</v>
      </c>
      <c r="D85" s="29" t="s">
        <v>443</v>
      </c>
    </row>
    <row r="86" spans="1:4" x14ac:dyDescent="0.3">
      <c r="A86" s="62">
        <v>41455</v>
      </c>
      <c r="B86" s="40">
        <v>1929</v>
      </c>
      <c r="C86" s="19">
        <f t="shared" si="2"/>
        <v>5.1484303324620805E-2</v>
      </c>
      <c r="D86" s="29" t="s">
        <v>443</v>
      </c>
    </row>
    <row r="87" spans="1:4" x14ac:dyDescent="0.3">
      <c r="A87" s="62">
        <v>41547</v>
      </c>
      <c r="B87" s="40">
        <v>1908.29</v>
      </c>
      <c r="C87" s="19">
        <f t="shared" si="2"/>
        <v>-1.0794180832796655E-2</v>
      </c>
      <c r="D87" s="29" t="s">
        <v>443</v>
      </c>
    </row>
    <row r="88" spans="1:4" x14ac:dyDescent="0.3">
      <c r="A88" s="62">
        <v>41639</v>
      </c>
      <c r="B88" s="40">
        <v>1926.83</v>
      </c>
      <c r="C88" s="19">
        <f t="shared" si="2"/>
        <v>9.6686124186815946E-3</v>
      </c>
      <c r="D88" s="29" t="s">
        <v>443</v>
      </c>
    </row>
    <row r="89" spans="1:4" x14ac:dyDescent="0.3">
      <c r="A89" s="62">
        <v>41729</v>
      </c>
      <c r="B89" s="40">
        <v>1969.45</v>
      </c>
      <c r="C89" s="19">
        <f t="shared" si="2"/>
        <v>2.1878150442987302E-2</v>
      </c>
      <c r="D89" s="29" t="s">
        <v>443</v>
      </c>
    </row>
    <row r="90" spans="1:4" x14ac:dyDescent="0.3">
      <c r="A90" s="62">
        <v>41820</v>
      </c>
      <c r="B90" s="40">
        <v>1881.19</v>
      </c>
      <c r="C90" s="19">
        <f t="shared" si="2"/>
        <v>-4.584976063373758E-2</v>
      </c>
      <c r="D90" s="29" t="s">
        <v>443</v>
      </c>
    </row>
    <row r="91" spans="1:4" x14ac:dyDescent="0.3">
      <c r="A91" s="62">
        <v>41912</v>
      </c>
      <c r="B91" s="40">
        <v>2022</v>
      </c>
      <c r="C91" s="19">
        <f t="shared" si="2"/>
        <v>7.2182565279552968E-2</v>
      </c>
      <c r="D91" s="29" t="s">
        <v>443</v>
      </c>
    </row>
    <row r="92" spans="1:4" x14ac:dyDescent="0.3">
      <c r="A92" s="62">
        <v>42004</v>
      </c>
      <c r="B92" s="40">
        <v>2392.46</v>
      </c>
      <c r="C92" s="19">
        <f t="shared" si="2"/>
        <v>0.16823500469365946</v>
      </c>
      <c r="D92" s="29" t="s">
        <v>443</v>
      </c>
    </row>
    <row r="93" spans="1:4" x14ac:dyDescent="0.3">
      <c r="A93" s="62">
        <v>42094</v>
      </c>
      <c r="B93" s="40">
        <v>2598.36</v>
      </c>
      <c r="C93" s="19">
        <f t="shared" si="2"/>
        <v>8.255835148612263E-2</v>
      </c>
      <c r="D93" s="29" t="s">
        <v>443</v>
      </c>
    </row>
    <row r="94" spans="1:4" x14ac:dyDescent="0.3">
      <c r="A94" s="62">
        <v>42185</v>
      </c>
      <c r="B94" s="40">
        <v>2598.6799999999998</v>
      </c>
      <c r="C94" s="19">
        <f t="shared" si="2"/>
        <v>1.2314702230668636E-4</v>
      </c>
      <c r="D94" s="29" t="s">
        <v>443</v>
      </c>
    </row>
    <row r="95" spans="1:4" x14ac:dyDescent="0.3">
      <c r="A95" s="62">
        <v>42277</v>
      </c>
      <c r="B95" s="40">
        <v>3086.75</v>
      </c>
      <c r="C95" s="19">
        <f t="shared" si="2"/>
        <v>0.17211513366534764</v>
      </c>
      <c r="D95" s="29" t="s">
        <v>443</v>
      </c>
    </row>
    <row r="96" spans="1:4" x14ac:dyDescent="0.3">
      <c r="A96" s="62">
        <v>42369</v>
      </c>
      <c r="B96" s="40">
        <v>3149.47</v>
      </c>
      <c r="C96" s="19">
        <f t="shared" si="2"/>
        <v>2.0115427247284778E-2</v>
      </c>
      <c r="D96" s="29" t="s">
        <v>443</v>
      </c>
    </row>
    <row r="97" spans="1:4" x14ac:dyDescent="0.3">
      <c r="A97" s="62">
        <v>42460</v>
      </c>
      <c r="B97" s="40">
        <v>3000.63</v>
      </c>
      <c r="C97" s="19">
        <f t="shared" si="2"/>
        <v>-4.841191809180459E-2</v>
      </c>
      <c r="D97" s="29" t="s">
        <v>443</v>
      </c>
    </row>
    <row r="98" spans="1:4" x14ac:dyDescent="0.3">
      <c r="A98" s="62">
        <v>42551</v>
      </c>
      <c r="B98" s="40">
        <v>2919.01</v>
      </c>
      <c r="C98" s="19">
        <f t="shared" si="2"/>
        <v>-2.7577748924322649E-2</v>
      </c>
      <c r="D98" s="29" t="s">
        <v>443</v>
      </c>
    </row>
    <row r="99" spans="1:4" x14ac:dyDescent="0.3">
      <c r="A99" s="62">
        <v>42643</v>
      </c>
      <c r="B99" s="40">
        <v>2880.08</v>
      </c>
      <c r="C99" s="19">
        <f t="shared" si="2"/>
        <v>-1.3426446157036575E-2</v>
      </c>
      <c r="D99" s="29" t="s">
        <v>443</v>
      </c>
    </row>
    <row r="100" spans="1:4" x14ac:dyDescent="0.3">
      <c r="A100" s="62">
        <v>42735</v>
      </c>
      <c r="B100" s="40">
        <v>3000.71</v>
      </c>
      <c r="C100" s="19">
        <f t="shared" si="2"/>
        <v>4.1030855793801599E-2</v>
      </c>
      <c r="D100" s="29" t="s">
        <v>443</v>
      </c>
    </row>
    <row r="101" spans="1:4" x14ac:dyDescent="0.3">
      <c r="A101" s="62">
        <v>42825</v>
      </c>
      <c r="B101" s="40">
        <v>2885.57</v>
      </c>
      <c r="C101" s="19">
        <f t="shared" si="2"/>
        <v>-3.9126473231834512E-2</v>
      </c>
      <c r="D101" s="29" t="s">
        <v>443</v>
      </c>
    </row>
    <row r="102" spans="1:4" x14ac:dyDescent="0.3">
      <c r="A102" s="62">
        <v>42916</v>
      </c>
      <c r="B102" s="40">
        <v>3050.43</v>
      </c>
      <c r="C102" s="19">
        <f t="shared" ref="C102:C133" si="3">LN(B102/B101)</f>
        <v>5.5560110186818709E-2</v>
      </c>
      <c r="D102" s="29" t="s">
        <v>443</v>
      </c>
    </row>
    <row r="103" spans="1:4" x14ac:dyDescent="0.3">
      <c r="A103" s="62">
        <v>43008</v>
      </c>
      <c r="B103" s="40">
        <v>2936.67</v>
      </c>
      <c r="C103" s="19">
        <f t="shared" si="3"/>
        <v>-3.8006277935508884E-2</v>
      </c>
      <c r="D103" s="29" t="s">
        <v>443</v>
      </c>
    </row>
    <row r="104" spans="1:4" x14ac:dyDescent="0.3">
      <c r="A104" s="62">
        <v>43100</v>
      </c>
      <c r="B104" s="40">
        <v>2984</v>
      </c>
      <c r="C104" s="19">
        <f t="shared" si="3"/>
        <v>1.5988395988400371E-2</v>
      </c>
      <c r="D104" s="29" t="s">
        <v>443</v>
      </c>
    </row>
    <row r="105" spans="1:4" x14ac:dyDescent="0.3">
      <c r="A105" s="62">
        <v>43190</v>
      </c>
      <c r="B105" s="40">
        <v>2780.47</v>
      </c>
      <c r="C105" s="19">
        <f t="shared" si="3"/>
        <v>-7.0644704180601273E-2</v>
      </c>
      <c r="D105" s="29" t="s">
        <v>443</v>
      </c>
    </row>
    <row r="106" spans="1:4" x14ac:dyDescent="0.3">
      <c r="A106" s="62">
        <v>43281</v>
      </c>
      <c r="B106" s="40">
        <v>2930.8</v>
      </c>
      <c r="C106" s="19">
        <f t="shared" si="3"/>
        <v>5.2655445142758765E-2</v>
      </c>
      <c r="D106" s="29" t="s">
        <v>443</v>
      </c>
    </row>
    <row r="107" spans="1:4" x14ac:dyDescent="0.3">
      <c r="A107" s="62">
        <v>43373</v>
      </c>
      <c r="B107" s="40">
        <v>2972.18</v>
      </c>
      <c r="C107" s="19">
        <f t="shared" si="3"/>
        <v>1.4020266993747076E-2</v>
      </c>
      <c r="D107" s="29" t="s">
        <v>443</v>
      </c>
    </row>
    <row r="108" spans="1:4" x14ac:dyDescent="0.3">
      <c r="A108" s="62">
        <v>43465</v>
      </c>
      <c r="B108" s="40">
        <v>3249.75</v>
      </c>
      <c r="C108" s="19">
        <f t="shared" si="3"/>
        <v>8.9282380008572582E-2</v>
      </c>
      <c r="D108" s="29" t="s">
        <v>443</v>
      </c>
    </row>
    <row r="109" spans="1:4" x14ac:dyDescent="0.3">
      <c r="A109" s="62">
        <v>43555</v>
      </c>
      <c r="B109" s="40">
        <v>3174.79</v>
      </c>
      <c r="C109" s="19">
        <f t="shared" si="3"/>
        <v>-2.3336581881080787E-2</v>
      </c>
      <c r="D109" s="29" t="s">
        <v>443</v>
      </c>
    </row>
    <row r="110" spans="1:4" x14ac:dyDescent="0.3">
      <c r="A110" s="62">
        <v>43646</v>
      </c>
      <c r="B110" s="40">
        <v>3205.67</v>
      </c>
      <c r="C110" s="19">
        <f t="shared" si="3"/>
        <v>9.6796284620930331E-3</v>
      </c>
      <c r="D110" s="29" t="s">
        <v>443</v>
      </c>
    </row>
    <row r="111" spans="1:4" x14ac:dyDescent="0.3">
      <c r="A111" s="62">
        <v>43738</v>
      </c>
      <c r="B111" s="40">
        <v>3477.45</v>
      </c>
      <c r="C111" s="19">
        <f t="shared" si="3"/>
        <v>8.1378149679871309E-2</v>
      </c>
      <c r="D111" s="29" t="s">
        <v>443</v>
      </c>
    </row>
    <row r="112" spans="1:4" x14ac:dyDescent="0.3">
      <c r="A112" s="62">
        <v>43830</v>
      </c>
      <c r="B112" s="40">
        <v>3277.14</v>
      </c>
      <c r="C112" s="19">
        <f t="shared" si="3"/>
        <v>-5.9328175760925327E-2</v>
      </c>
      <c r="D112" s="29" t="s">
        <v>443</v>
      </c>
    </row>
    <row r="113" spans="1:4" x14ac:dyDescent="0.3">
      <c r="A113" s="62">
        <v>43921</v>
      </c>
      <c r="B113" s="40">
        <v>4054.54</v>
      </c>
      <c r="C113" s="19">
        <f t="shared" si="3"/>
        <v>0.21286615012931345</v>
      </c>
      <c r="D113" s="29" t="s">
        <v>443</v>
      </c>
    </row>
    <row r="114" spans="1:4" x14ac:dyDescent="0.3">
      <c r="A114" s="62">
        <v>44012</v>
      </c>
      <c r="B114" s="40">
        <v>3756.28</v>
      </c>
      <c r="C114" s="19">
        <f t="shared" si="3"/>
        <v>-7.6408134976923905E-2</v>
      </c>
      <c r="D114" s="29" t="s">
        <v>443</v>
      </c>
    </row>
    <row r="115" spans="1:4" x14ac:dyDescent="0.3">
      <c r="A115" s="62">
        <v>44104</v>
      </c>
      <c r="B115" s="40">
        <v>3865.47</v>
      </c>
      <c r="C115" s="19">
        <f t="shared" si="3"/>
        <v>2.8654172827577311E-2</v>
      </c>
      <c r="D115" s="29" t="s">
        <v>443</v>
      </c>
    </row>
    <row r="116" spans="1:4" x14ac:dyDescent="0.3">
      <c r="A116" s="62">
        <v>44196</v>
      </c>
      <c r="B116" s="40">
        <v>3432.5</v>
      </c>
      <c r="C116" s="19">
        <f t="shared" si="3"/>
        <v>-0.11879442012592757</v>
      </c>
      <c r="D116" s="29" t="s">
        <v>443</v>
      </c>
    </row>
    <row r="117" spans="1:4" x14ac:dyDescent="0.3">
      <c r="A117" s="62">
        <v>44286</v>
      </c>
      <c r="B117" s="40">
        <v>3678.62</v>
      </c>
      <c r="C117" s="19">
        <f t="shared" si="3"/>
        <v>6.9248823190767361E-2</v>
      </c>
      <c r="D117" s="29" t="s">
        <v>443</v>
      </c>
    </row>
    <row r="118" spans="1:4" x14ac:dyDescent="0.3">
      <c r="A118" s="62">
        <v>44377</v>
      </c>
      <c r="B118" s="40">
        <v>3748.5</v>
      </c>
      <c r="C118" s="19">
        <f t="shared" si="3"/>
        <v>1.8818078110223249E-2</v>
      </c>
      <c r="D118" s="29" t="s">
        <v>443</v>
      </c>
    </row>
    <row r="119" spans="1:4" x14ac:dyDescent="0.3">
      <c r="A119" s="62">
        <v>44469</v>
      </c>
      <c r="B119" s="40">
        <v>3812.77</v>
      </c>
      <c r="C119" s="19">
        <f t="shared" si="3"/>
        <v>1.700019913708679E-2</v>
      </c>
      <c r="D119" s="29" t="s">
        <v>443</v>
      </c>
    </row>
    <row r="120" spans="1:4" x14ac:dyDescent="0.3">
      <c r="A120" s="62">
        <v>44561</v>
      </c>
      <c r="B120" s="40">
        <v>3981.16</v>
      </c>
      <c r="C120" s="19">
        <f t="shared" si="3"/>
        <v>4.321727501928796E-2</v>
      </c>
      <c r="D120" s="29" t="s">
        <v>443</v>
      </c>
    </row>
    <row r="121" spans="1:4" x14ac:dyDescent="0.3">
      <c r="A121" s="62">
        <v>44651</v>
      </c>
      <c r="B121" s="40">
        <v>3756.03</v>
      </c>
      <c r="C121" s="19">
        <f t="shared" si="3"/>
        <v>-5.8210685582788448E-2</v>
      </c>
      <c r="D121" s="29" t="s">
        <v>443</v>
      </c>
    </row>
    <row r="122" spans="1:4" x14ac:dyDescent="0.3">
      <c r="A122" s="62">
        <v>44742</v>
      </c>
      <c r="B122" s="40">
        <v>4151.21</v>
      </c>
      <c r="C122" s="19">
        <f t="shared" si="3"/>
        <v>0.10003730947591781</v>
      </c>
      <c r="D122" s="29" t="s">
        <v>443</v>
      </c>
    </row>
    <row r="123" spans="1:4" x14ac:dyDescent="0.3">
      <c r="A123" s="62">
        <v>44834</v>
      </c>
      <c r="B123" s="40">
        <v>4590.54</v>
      </c>
      <c r="C123" s="19">
        <f t="shared" si="3"/>
        <v>0.10059780620092072</v>
      </c>
      <c r="D123" s="29" t="s">
        <v>443</v>
      </c>
    </row>
    <row r="124" spans="1:4" x14ac:dyDescent="0.3">
      <c r="A124" s="62">
        <v>44926</v>
      </c>
      <c r="B124" s="40">
        <v>4810.2</v>
      </c>
      <c r="C124" s="19">
        <f t="shared" si="3"/>
        <v>4.6740999083419138E-2</v>
      </c>
      <c r="D124" s="29" t="s">
        <v>443</v>
      </c>
    </row>
    <row r="125" spans="1:4" x14ac:dyDescent="0.3">
      <c r="A125" s="62">
        <v>45016</v>
      </c>
      <c r="B125" s="40">
        <v>4627.2700000000004</v>
      </c>
      <c r="C125" s="19">
        <f t="shared" si="3"/>
        <v>-3.8771601927853623E-2</v>
      </c>
      <c r="D125" s="29" t="s">
        <v>444</v>
      </c>
    </row>
    <row r="126" spans="1:4" x14ac:dyDescent="0.3">
      <c r="A126" s="62">
        <v>45107</v>
      </c>
      <c r="B126" s="40">
        <v>4191.28</v>
      </c>
      <c r="C126" s="19">
        <f t="shared" si="3"/>
        <v>-9.8960884825123774E-2</v>
      </c>
      <c r="D126" s="29" t="s">
        <v>444</v>
      </c>
    </row>
    <row r="127" spans="1:4" x14ac:dyDescent="0.3">
      <c r="A127" s="62">
        <v>45199</v>
      </c>
      <c r="B127" s="40">
        <v>4053.76</v>
      </c>
      <c r="C127" s="19">
        <f t="shared" si="3"/>
        <v>-3.3361331053817785E-2</v>
      </c>
      <c r="D127" s="29" t="s">
        <v>444</v>
      </c>
    </row>
    <row r="128" spans="1:4" x14ac:dyDescent="0.3">
      <c r="A128" s="62">
        <v>45291</v>
      </c>
      <c r="B128" s="40">
        <v>3822.05</v>
      </c>
      <c r="C128" s="19">
        <f t="shared" si="3"/>
        <v>-5.8857917599578556E-2</v>
      </c>
      <c r="D128" s="29" t="s">
        <v>444</v>
      </c>
    </row>
    <row r="129" spans="1:4" x14ac:dyDescent="0.3">
      <c r="A129" s="62">
        <v>45382</v>
      </c>
      <c r="B129" s="40">
        <v>3858.5</v>
      </c>
      <c r="C129" s="19">
        <f t="shared" si="3"/>
        <v>9.4915790270707796E-3</v>
      </c>
      <c r="D129" s="29" t="s">
        <v>445</v>
      </c>
    </row>
    <row r="130" spans="1:4" x14ac:dyDescent="0.3">
      <c r="A130" s="62">
        <v>45473</v>
      </c>
      <c r="B130" s="40">
        <v>4149.3</v>
      </c>
      <c r="C130" s="19">
        <f t="shared" si="3"/>
        <v>7.2661138401114184E-2</v>
      </c>
      <c r="D130" s="29" t="s">
        <v>445</v>
      </c>
    </row>
    <row r="131" spans="1:4" x14ac:dyDescent="0.3">
      <c r="A131" s="62">
        <v>45565</v>
      </c>
      <c r="B131" s="40">
        <v>4190.8999999999996</v>
      </c>
      <c r="C131" s="19">
        <f t="shared" si="3"/>
        <v>9.9758626878476454E-3</v>
      </c>
      <c r="D131" s="29" t="s">
        <v>445</v>
      </c>
    </row>
    <row r="132" spans="1:4" x14ac:dyDescent="0.3">
      <c r="A132" s="62">
        <v>45657</v>
      </c>
      <c r="B132" s="40">
        <v>4409.1499999999996</v>
      </c>
      <c r="C132" s="19">
        <f t="shared" si="3"/>
        <v>5.0766419112633195E-2</v>
      </c>
      <c r="D132" s="29" t="s">
        <v>446</v>
      </c>
    </row>
    <row r="133" spans="1:4" x14ac:dyDescent="0.3">
      <c r="A133" s="62">
        <v>45747</v>
      </c>
      <c r="B133" s="40">
        <v>4185.6000000000004</v>
      </c>
      <c r="C133" s="19">
        <f t="shared" si="3"/>
        <v>-5.2031864276427794E-2</v>
      </c>
      <c r="D133" s="29" t="s">
        <v>445</v>
      </c>
    </row>
    <row r="134" spans="1:4" x14ac:dyDescent="0.3">
      <c r="A134" s="62">
        <v>45838</v>
      </c>
      <c r="B134" s="40">
        <v>4057.2</v>
      </c>
      <c r="C134" s="19">
        <f t="shared" ref="C134:C139" si="4">LN(B134/B133)</f>
        <v>-3.1156982320984388E-2</v>
      </c>
      <c r="D134" s="29" t="s">
        <v>445</v>
      </c>
    </row>
    <row r="135" spans="1:4" x14ac:dyDescent="0.3">
      <c r="A135" s="62">
        <v>45930</v>
      </c>
      <c r="B135" s="40">
        <v>3925.2</v>
      </c>
      <c r="C135" s="19">
        <f t="shared" si="4"/>
        <v>-3.3075775169502074E-2</v>
      </c>
      <c r="D135" s="29" t="s">
        <v>445</v>
      </c>
    </row>
    <row r="136" spans="1:4" x14ac:dyDescent="0.3">
      <c r="A136" s="62">
        <v>46022</v>
      </c>
      <c r="B136" s="40">
        <v>3769.5</v>
      </c>
      <c r="C136" s="19">
        <f t="shared" si="4"/>
        <v>-4.0474938680581926E-2</v>
      </c>
      <c r="D136" s="29" t="s">
        <v>445</v>
      </c>
    </row>
    <row r="137" spans="1:4" x14ac:dyDescent="0.3">
      <c r="A137" s="62">
        <v>46112</v>
      </c>
      <c r="B137" s="40">
        <v>3642.8</v>
      </c>
      <c r="C137" s="19">
        <f t="shared" si="4"/>
        <v>-3.4189749958092985E-2</v>
      </c>
      <c r="D137" s="29" t="s">
        <v>447</v>
      </c>
    </row>
    <row r="138" spans="1:4" x14ac:dyDescent="0.3">
      <c r="A138" s="62">
        <v>46203</v>
      </c>
      <c r="B138" s="40">
        <v>3446.7</v>
      </c>
      <c r="C138" s="19">
        <f t="shared" si="4"/>
        <v>-5.5335365166234773E-2</v>
      </c>
      <c r="D138" s="29" t="s">
        <v>447</v>
      </c>
    </row>
    <row r="139" spans="1:4" x14ac:dyDescent="0.3">
      <c r="A139" s="62">
        <v>46295</v>
      </c>
      <c r="B139" s="40">
        <v>3346.7</v>
      </c>
      <c r="C139" s="19">
        <f t="shared" si="4"/>
        <v>-2.9442465840057806E-2</v>
      </c>
      <c r="D139" s="29" t="s">
        <v>447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Supuestos</vt:lpstr>
      <vt:lpstr>Amortización</vt:lpstr>
      <vt:lpstr>A.3 Conversión</vt:lpstr>
      <vt:lpstr>B Supuestos</vt:lpstr>
      <vt:lpstr>B.1 Forward</vt:lpstr>
      <vt:lpstr>B.2 Escenarios</vt:lpstr>
      <vt:lpstr>B.3 Flujo consolidado</vt:lpstr>
      <vt:lpstr>B.3 Evaluación</vt:lpstr>
      <vt:lpstr>Trayectorias TRM</vt:lpstr>
      <vt:lpstr>Trayectorias B</vt:lpstr>
      <vt:lpstr>Flujos escenarios B</vt:lpstr>
      <vt:lpstr>Ventanas históricas</vt:lpstr>
      <vt:lpstr>Históricos 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 hung</cp:lastModifiedBy>
  <cp:revision>1</cp:revision>
  <dcterms:created xsi:type="dcterms:W3CDTF">2026-10-18T19:24:02Z</dcterms:created>
  <dcterms:modified xsi:type="dcterms:W3CDTF">2026-10-29T14:17:49Z</dcterms:modified>
  <dc:language>en-US</dc:language>
</cp:coreProperties>
</file>